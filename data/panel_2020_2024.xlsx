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ex's study materials\Semester IV\SQL\Midterm Project\TEAM_6_FirmDataHub\data\"/>
    </mc:Choice>
  </mc:AlternateContent>
  <xr:revisionPtr revIDLastSave="0" documentId="13_ncr:1_{FC06375F-618F-4CF5-BAA0-B236012416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PJhjhpXkk+OyDIjYrw0QAeR0McgYnkQ3sRrveIU+6k="/>
    </ext>
  </extLst>
</workbook>
</file>

<file path=xl/calcChain.xml><?xml version="1.0" encoding="utf-8"?>
<calcChain xmlns="http://schemas.openxmlformats.org/spreadsheetml/2006/main">
  <c r="AO51" i="1" l="1"/>
  <c r="AO50" i="1"/>
  <c r="I50" i="1"/>
  <c r="U48" i="1"/>
  <c r="U47" i="1"/>
  <c r="AD46" i="1"/>
  <c r="AD45" i="1"/>
  <c r="AM41" i="1"/>
  <c r="AD41" i="1"/>
  <c r="X41" i="1"/>
  <c r="V41" i="1"/>
  <c r="R41" i="1"/>
  <c r="J41" i="1"/>
  <c r="G41" i="1"/>
  <c r="AO40" i="1"/>
  <c r="AM40" i="1"/>
  <c r="AD40" i="1"/>
  <c r="AB40" i="1"/>
  <c r="R40" i="1"/>
  <c r="J40" i="1"/>
  <c r="AO39" i="1"/>
  <c r="AM39" i="1"/>
  <c r="AJ39" i="1"/>
  <c r="AD39" i="1"/>
  <c r="V39" i="1"/>
  <c r="R39" i="1"/>
  <c r="AO38" i="1"/>
  <c r="AM38" i="1"/>
  <c r="AD38" i="1"/>
  <c r="U38" i="1"/>
  <c r="AO37" i="1"/>
  <c r="AM37" i="1"/>
  <c r="AD37" i="1"/>
  <c r="X37" i="1"/>
  <c r="AM33" i="1"/>
  <c r="AM32" i="1"/>
  <c r="AD31" i="1"/>
  <c r="U31" i="1"/>
  <c r="AD30" i="1"/>
  <c r="U30" i="1"/>
  <c r="AD29" i="1"/>
  <c r="U29" i="1"/>
  <c r="L29" i="1"/>
  <c r="AD28" i="1"/>
  <c r="U28" i="1"/>
  <c r="G28" i="1"/>
  <c r="AD27" i="1"/>
  <c r="U27" i="1"/>
  <c r="G27" i="1"/>
  <c r="AD26" i="1"/>
  <c r="J26" i="1"/>
  <c r="AD25" i="1"/>
  <c r="AD24" i="1"/>
  <c r="AD23" i="1"/>
  <c r="J23" i="1"/>
  <c r="AD22" i="1"/>
  <c r="AD21" i="1"/>
  <c r="AD20" i="1"/>
  <c r="AJ19" i="1"/>
  <c r="AD19" i="1"/>
  <c r="AD18" i="1"/>
  <c r="AJ17" i="1"/>
  <c r="AD17" i="1"/>
  <c r="AD16" i="1"/>
  <c r="AD15" i="1"/>
  <c r="AD14" i="1"/>
  <c r="AD13" i="1"/>
  <c r="AD12" i="1"/>
  <c r="AD11" i="1"/>
  <c r="AD10" i="1"/>
  <c r="AD9" i="1"/>
  <c r="AD8" i="1"/>
  <c r="AD7" i="1"/>
  <c r="AC7" i="1"/>
  <c r="V6" i="1"/>
  <c r="U6" i="1"/>
  <c r="V5" i="1"/>
  <c r="U5" i="1"/>
  <c r="V4" i="1"/>
  <c r="U4" i="1"/>
  <c r="S4" i="1"/>
  <c r="I4" i="1"/>
  <c r="X3" i="1"/>
  <c r="T3" i="1"/>
  <c r="S3" i="1"/>
  <c r="R3" i="1"/>
  <c r="J3" i="1"/>
  <c r="I3" i="1"/>
  <c r="G3" i="1"/>
  <c r="I2" i="1"/>
</calcChain>
</file>

<file path=xl/sharedStrings.xml><?xml version="1.0" encoding="utf-8"?>
<sst xmlns="http://schemas.openxmlformats.org/spreadsheetml/2006/main" count="3526" uniqueCount="2459">
  <si>
    <t>No.</t>
  </si>
  <si>
    <t>Company</t>
  </si>
  <si>
    <t>StockCode</t>
  </si>
  <si>
    <t>YearEnd</t>
  </si>
  <si>
    <t>Industry</t>
  </si>
  <si>
    <t>Exchange</t>
  </si>
  <si>
    <t>Managerial/Inside ownership</t>
  </si>
  <si>
    <t>State ownership</t>
  </si>
  <si>
    <t>Institutional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</si>
  <si>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</si>
  <si>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</si>
  <si>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</si>
  <si>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</si>
  <si>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</si>
  <si>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</si>
  <si>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>General and administrative expenditure</t>
  </si>
  <si>
    <t>Value of intangible assets</t>
  </si>
  <si>
    <t>Manufacturing overhead (Indirect cost)</t>
  </si>
  <si>
    <t>Net operating income</t>
  </si>
  <si>
    <t>Consumption of raw material</t>
  </si>
  <si>
    <t>Merchandise purchase of the year</t>
  </si>
  <si>
    <t>Work-in-progess goods purchase</t>
  </si>
  <si>
    <t>Outside manufacturing expenses</t>
  </si>
  <si>
    <t>Production cost</t>
  </si>
  <si>
    <t>R&amp;D expenditure</t>
  </si>
  <si>
    <t>Product innovation</t>
  </si>
  <si>
    <t>Process innovation</t>
  </si>
  <si>
    <t>Net Income</t>
  </si>
  <si>
    <t>Total shareholders' equity</t>
  </si>
  <si>
    <t>Market value of equity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</si>
  <si>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</si>
  <si>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</si>
  <si>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</si>
  <si>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</si>
  <si>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</si>
  <si>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</si>
  <si>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</si>
  <si>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liabilities</t>
  </si>
  <si>
    <t>Growth ratio</t>
  </si>
  <si>
    <t>Total inventory</t>
  </si>
  <si>
    <t>Dividend payment</t>
  </si>
  <si>
    <t>EPS(VND)</t>
  </si>
  <si>
    <t>Number of employees</t>
  </si>
  <si>
    <t>Net plant, property and equipment</t>
  </si>
  <si>
    <t>Firm age</t>
  </si>
  <si>
    <t>Nhựa Bình Minh</t>
  </si>
  <si>
    <t>BMP</t>
  </si>
  <si>
    <t>Xây dựng và Vật liệu</t>
  </si>
  <si>
    <t>HOSE</t>
  </si>
  <si>
    <t>0.01</t>
  </si>
  <si>
    <t>0.81</t>
  </si>
  <si>
    <t>4,700.44</t>
  </si>
  <si>
    <t>4,685.64</t>
  </si>
  <si>
    <t>3,022.75</t>
  </si>
  <si>
    <t>485.05</t>
  </si>
  <si>
    <t>63.74</t>
  </si>
  <si>
    <t>11.25</t>
  </si>
  <si>
    <t>822.73</t>
  </si>
  <si>
    <t>654.25</t>
  </si>
  <si>
    <t>213.20</t>
  </si>
  <si>
    <t>24.96</t>
  </si>
  <si>
    <t>209.37</t>
  </si>
  <si>
    <t>1</t>
  </si>
  <si>
    <t>522.59</t>
  </si>
  <si>
    <t>2,471.52</t>
  </si>
  <si>
    <t>5,124.49</t>
  </si>
  <si>
    <t>551.22</t>
  </si>
  <si>
    <t>918.58</t>
  </si>
  <si>
    <t>96.05</t>
  </si>
  <si>
    <t>195.74</t>
  </si>
  <si>
    <t>23.49</t>
  </si>
  <si>
    <t>2,128.87</t>
  </si>
  <si>
    <t>527.73</t>
  </si>
  <si>
    <t>0.08</t>
  </si>
  <si>
    <t>397.95</t>
  </si>
  <si>
    <t>478.07</t>
  </si>
  <si>
    <t>1,407</t>
  </si>
  <si>
    <t>486.58</t>
  </si>
  <si>
    <t>43</t>
  </si>
  <si>
    <t>4,564.94</t>
  </si>
  <si>
    <t>4,552.76</t>
  </si>
  <si>
    <t>2,838.02</t>
  </si>
  <si>
    <t>281.42</t>
  </si>
  <si>
    <t>87.57</t>
  </si>
  <si>
    <t>9.33</t>
  </si>
  <si>
    <t>202.53</t>
  </si>
  <si>
    <t>52.75</t>
  </si>
  <si>
    <t>171.24</t>
  </si>
  <si>
    <t>214.38</t>
  </si>
  <si>
    <t>2,293.47</t>
  </si>
  <si>
    <t>4,903.47</t>
  </si>
  <si>
    <t>544.55</t>
  </si>
  <si>
    <t>159.33</t>
  </si>
  <si>
    <t>290.82</t>
  </si>
  <si>
    <t>172.94</t>
  </si>
  <si>
    <t>2,008.03</t>
  </si>
  <si>
    <t>522.69</t>
  </si>
  <si>
    <t>-2.88</t>
  </si>
  <si>
    <t>621.53</t>
  </si>
  <si>
    <t>284.88</t>
  </si>
  <si>
    <t>1,395</t>
  </si>
  <si>
    <t>372.66</t>
  </si>
  <si>
    <t>44</t>
  </si>
  <si>
    <t>5,824.83</t>
  </si>
  <si>
    <t>5,808.34</t>
  </si>
  <si>
    <t>3,044.79</t>
  </si>
  <si>
    <t>503.33</t>
  </si>
  <si>
    <t>128.94</t>
  </si>
  <si>
    <t>7.20</t>
  </si>
  <si>
    <t>842.92</t>
  </si>
  <si>
    <t>4,052.05</t>
  </si>
  <si>
    <t>244.28</t>
  </si>
  <si>
    <t>5,413.19</t>
  </si>
  <si>
    <t>694.27</t>
  </si>
  <si>
    <t>2,621.32</t>
  </si>
  <si>
    <t>4,911.66</t>
  </si>
  <si>
    <t>423.47</t>
  </si>
  <si>
    <t>799.14</t>
  </si>
  <si>
    <t>69.98</t>
  </si>
  <si>
    <t>358.57</t>
  </si>
  <si>
    <t>20.00</t>
  </si>
  <si>
    <t>2,215.15</t>
  </si>
  <si>
    <t>403.47</t>
  </si>
  <si>
    <t>27.60</t>
  </si>
  <si>
    <t>577.48</t>
  </si>
  <si>
    <t>466.61</t>
  </si>
  <si>
    <t>1,339</t>
  </si>
  <si>
    <t>360.55</t>
  </si>
  <si>
    <t>45</t>
  </si>
  <si>
    <t>5,199.92</t>
  </si>
  <si>
    <t>5,156.98</t>
  </si>
  <si>
    <t>3,255.00</t>
  </si>
  <si>
    <t>676.25</t>
  </si>
  <si>
    <t>106.92</t>
  </si>
  <si>
    <t>5.91</t>
  </si>
  <si>
    <t>936.19</t>
  </si>
  <si>
    <t>1,345.86</t>
  </si>
  <si>
    <t>2,507.64</t>
  </si>
  <si>
    <t>217.92</t>
  </si>
  <si>
    <t>3,923.91</t>
  </si>
  <si>
    <t>1,041.01</t>
  </si>
  <si>
    <t>2,689.73</t>
  </si>
  <si>
    <t>565.27</t>
  </si>
  <si>
    <t>1,602.84</t>
  </si>
  <si>
    <t>57.98</t>
  </si>
  <si>
    <t>821.41</t>
  </si>
  <si>
    <t>2,593.90</t>
  </si>
  <si>
    <t>546.15</t>
  </si>
  <si>
    <t>-10.73</t>
  </si>
  <si>
    <t>364.23</t>
  </si>
  <si>
    <t>965.96</t>
  </si>
  <si>
    <t>1,318</t>
  </si>
  <si>
    <t>279.88</t>
  </si>
  <si>
    <t>46</t>
  </si>
  <si>
    <t>4,678.62</t>
  </si>
  <si>
    <t>4,615.68</t>
  </si>
  <si>
    <t>3,200.49</t>
  </si>
  <si>
    <t>555.92</t>
  </si>
  <si>
    <t>119.64</t>
  </si>
  <si>
    <t>6.32</t>
  </si>
  <si>
    <t>748.12</t>
  </si>
  <si>
    <t>1,261.40</t>
  </si>
  <si>
    <t>2,185.71</t>
  </si>
  <si>
    <t>212.11</t>
  </si>
  <si>
    <t>3,371.81</t>
  </si>
  <si>
    <t>990.76</t>
  </si>
  <si>
    <t>2,701.70</t>
  </si>
  <si>
    <t>498.80</t>
  </si>
  <si>
    <t>900.55</t>
  </si>
  <si>
    <t>108.99</t>
  </si>
  <si>
    <t>504.17</t>
  </si>
  <si>
    <t>2,596.11</t>
  </si>
  <si>
    <t>480.99</t>
  </si>
  <si>
    <t>-10.03</t>
  </si>
  <si>
    <t>463.58</t>
  </si>
  <si>
    <t>969.23</t>
  </si>
  <si>
    <t>1,299</t>
  </si>
  <si>
    <t>258.88</t>
  </si>
  <si>
    <t>47</t>
  </si>
  <si>
    <t>Xi măng Bút Sơn</t>
  </si>
  <si>
    <t>BTS</t>
  </si>
  <si>
    <t>HNX</t>
  </si>
  <si>
    <t>Đồ hộp Hạ Long</t>
  </si>
  <si>
    <t>CAN</t>
  </si>
  <si>
    <t>Thực phẩm và đồ uống</t>
  </si>
  <si>
    <t>17.74</t>
  </si>
  <si>
    <t>27.75</t>
  </si>
  <si>
    <t>0.05</t>
  </si>
  <si>
    <t>24.47</t>
  </si>
  <si>
    <t>738.57</t>
  </si>
  <si>
    <t>734.34</t>
  </si>
  <si>
    <t>397.41</t>
  </si>
  <si>
    <t>87.42</t>
  </si>
  <si>
    <t>28.21</t>
  </si>
  <si>
    <t>13.94</t>
  </si>
  <si>
    <t>35.65</t>
  </si>
  <si>
    <t>34.05</t>
  </si>
  <si>
    <t>486.21</t>
  </si>
  <si>
    <t>14.52</t>
  </si>
  <si>
    <t>18.47</t>
  </si>
  <si>
    <t>24.93</t>
  </si>
  <si>
    <t>709.98</t>
  </si>
  <si>
    <t>18.12</t>
  </si>
  <si>
    <t>129.62</t>
  </si>
  <si>
    <t>267.79</t>
  </si>
  <si>
    <t>17.22</t>
  </si>
  <si>
    <t>13.57</t>
  </si>
  <si>
    <t>1.14</t>
  </si>
  <si>
    <t>331.31</t>
  </si>
  <si>
    <t>262.51</t>
  </si>
  <si>
    <t>27.74</t>
  </si>
  <si>
    <t>248.94</t>
  </si>
  <si>
    <t>3,623</t>
  </si>
  <si>
    <t>942</t>
  </si>
  <si>
    <t>41.39</t>
  </si>
  <si>
    <t>63</t>
  </si>
  <si>
    <t>881.40</t>
  </si>
  <si>
    <t>864.08</t>
  </si>
  <si>
    <t>454.79</t>
  </si>
  <si>
    <t>107.28</t>
  </si>
  <si>
    <t>33.82</t>
  </si>
  <si>
    <t>13.46</t>
  </si>
  <si>
    <t>60.17</t>
  </si>
  <si>
    <t>52.53</t>
  </si>
  <si>
    <t>617.70</t>
  </si>
  <si>
    <t>6.98</t>
  </si>
  <si>
    <t>20.04</t>
  </si>
  <si>
    <t>32.63</t>
  </si>
  <si>
    <t>885.58</t>
  </si>
  <si>
    <t>29.42</t>
  </si>
  <si>
    <t>147.79</t>
  </si>
  <si>
    <t>307.01</t>
  </si>
  <si>
    <t>5.79</t>
  </si>
  <si>
    <t>11.61</t>
  </si>
  <si>
    <t>0.49</t>
  </si>
  <si>
    <t>390.01</t>
  </si>
  <si>
    <t>302.10</t>
  </si>
  <si>
    <t>17.67</t>
  </si>
  <si>
    <t>274.15</t>
  </si>
  <si>
    <t>5,164</t>
  </si>
  <si>
    <t>1,068</t>
  </si>
  <si>
    <t>45.27</t>
  </si>
  <si>
    <t>64</t>
  </si>
  <si>
    <t>17.72</t>
  </si>
  <si>
    <t>1.44</t>
  </si>
  <si>
    <t>15.61</t>
  </si>
  <si>
    <t>820.74</t>
  </si>
  <si>
    <t>806.08</t>
  </si>
  <si>
    <t>490.07</t>
  </si>
  <si>
    <t>86.51</t>
  </si>
  <si>
    <t>13.35</t>
  </si>
  <si>
    <t>67.24</t>
  </si>
  <si>
    <t>39.81</t>
  </si>
  <si>
    <t>532.10</t>
  </si>
  <si>
    <t>41.67</t>
  </si>
  <si>
    <t>28.30</t>
  </si>
  <si>
    <t>37.87</t>
  </si>
  <si>
    <t>780.19</t>
  </si>
  <si>
    <t>16.02</t>
  </si>
  <si>
    <t>147.70</t>
  </si>
  <si>
    <t>342.37</t>
  </si>
  <si>
    <t>12.15</t>
  </si>
  <si>
    <t>0.37</t>
  </si>
  <si>
    <t>433.39</t>
  </si>
  <si>
    <t>337.40</t>
  </si>
  <si>
    <t>-6.71</t>
  </si>
  <si>
    <t>346.45</t>
  </si>
  <si>
    <t>3,203</t>
  </si>
  <si>
    <t>901</t>
  </si>
  <si>
    <t>38.62</t>
  </si>
  <si>
    <t>65</t>
  </si>
  <si>
    <t>1.93</t>
  </si>
  <si>
    <t>26.47</t>
  </si>
  <si>
    <t>754.55</t>
  </si>
  <si>
    <t>741.58</t>
  </si>
  <si>
    <t>402.85</t>
  </si>
  <si>
    <t>91.90</t>
  </si>
  <si>
    <t>31.32</t>
  </si>
  <si>
    <t>12.95</t>
  </si>
  <si>
    <t>111.72</t>
  </si>
  <si>
    <t>32.12</t>
  </si>
  <si>
    <t>442.26</t>
  </si>
  <si>
    <t>30.86</t>
  </si>
  <si>
    <t>26.74</t>
  </si>
  <si>
    <t>73.16</t>
  </si>
  <si>
    <t>694.99</t>
  </si>
  <si>
    <t>12.07</t>
  </si>
  <si>
    <t>151.77</t>
  </si>
  <si>
    <t>251.08</t>
  </si>
  <si>
    <t>13.40</t>
  </si>
  <si>
    <t>0.25</t>
  </si>
  <si>
    <t>353.10</t>
  </si>
  <si>
    <t>246.13</t>
  </si>
  <si>
    <t>-8.00</t>
  </si>
  <si>
    <t>274.03</t>
  </si>
  <si>
    <t>2,414</t>
  </si>
  <si>
    <t>706</t>
  </si>
  <si>
    <t>32.89</t>
  </si>
  <si>
    <t>66</t>
  </si>
  <si>
    <t>696.53</t>
  </si>
  <si>
    <t>681.81</t>
  </si>
  <si>
    <t>286.66</t>
  </si>
  <si>
    <t>137.25</t>
  </si>
  <si>
    <t>31.65</t>
  </si>
  <si>
    <t>12.81</t>
  </si>
  <si>
    <t>94.31</t>
  </si>
  <si>
    <t>14.73</t>
  </si>
  <si>
    <t>411.90</t>
  </si>
  <si>
    <t>65.55</t>
  </si>
  <si>
    <t>5.99</t>
  </si>
  <si>
    <t>54.85</t>
  </si>
  <si>
    <t>644.77</t>
  </si>
  <si>
    <t>2.13</t>
  </si>
  <si>
    <t>145.95</t>
  </si>
  <si>
    <t>140.71</t>
  </si>
  <si>
    <t>133.41</t>
  </si>
  <si>
    <t>22.14</t>
  </si>
  <si>
    <t>0.13</t>
  </si>
  <si>
    <t>242.00</t>
  </si>
  <si>
    <t>135.71</t>
  </si>
  <si>
    <t>-8.06</t>
  </si>
  <si>
    <t>145.31</t>
  </si>
  <si>
    <t>425</t>
  </si>
  <si>
    <t>714</t>
  </si>
  <si>
    <t>28.05</t>
  </si>
  <si>
    <t>67</t>
  </si>
  <si>
    <t>Tập đoàn Everland</t>
  </si>
  <si>
    <t>EVG</t>
  </si>
  <si>
    <t>60,000,000</t>
  </si>
  <si>
    <t>768.48</t>
  </si>
  <si>
    <t>1,028.91</t>
  </si>
  <si>
    <t>8.06</t>
  </si>
  <si>
    <t>14.08</t>
  </si>
  <si>
    <t>0</t>
  </si>
  <si>
    <t>48.04</t>
  </si>
  <si>
    <t>24.50</t>
  </si>
  <si>
    <t>122.13</t>
  </si>
  <si>
    <t>682.22</t>
  </si>
  <si>
    <t>15.97</t>
  </si>
  <si>
    <t>39.50</t>
  </si>
  <si>
    <t>171.44</t>
  </si>
  <si>
    <t>19.38</t>
  </si>
  <si>
    <t>742.97</t>
  </si>
  <si>
    <t>285.95</t>
  </si>
  <si>
    <t>52.76</t>
  </si>
  <si>
    <t>24.79</t>
  </si>
  <si>
    <t>523.27</t>
  </si>
  <si>
    <t>239.92</t>
  </si>
  <si>
    <t>205.63</t>
  </si>
  <si>
    <t>305</t>
  </si>
  <si>
    <t>508</t>
  </si>
  <si>
    <t>1.52</t>
  </si>
  <si>
    <t>11</t>
  </si>
  <si>
    <t>105,000,000</t>
  </si>
  <si>
    <t>968.37</t>
  </si>
  <si>
    <t>2,030.46</t>
  </si>
  <si>
    <t>2.10</t>
  </si>
  <si>
    <t>8.13</t>
  </si>
  <si>
    <t>14.89</t>
  </si>
  <si>
    <t>29.93</t>
  </si>
  <si>
    <t>4.52</t>
  </si>
  <si>
    <t>920.42</t>
  </si>
  <si>
    <t>30.27</t>
  </si>
  <si>
    <t>14.68</t>
  </si>
  <si>
    <t>23.27</t>
  </si>
  <si>
    <t>23.84</t>
  </si>
  <si>
    <t>1,566.07</t>
  </si>
  <si>
    <t>464.39</t>
  </si>
  <si>
    <t>68.67</t>
  </si>
  <si>
    <t>1,381.44</t>
  </si>
  <si>
    <t>349.04</t>
  </si>
  <si>
    <t>214.57</t>
  </si>
  <si>
    <t>227</t>
  </si>
  <si>
    <t>0.59</t>
  </si>
  <si>
    <t>12</t>
  </si>
  <si>
    <t>215,249,836</t>
  </si>
  <si>
    <t>1,277.68</t>
  </si>
  <si>
    <t>2,663.73</t>
  </si>
  <si>
    <t>2.46</t>
  </si>
  <si>
    <t>6.31</t>
  </si>
  <si>
    <t>613.26</t>
  </si>
  <si>
    <t>35.56</t>
  </si>
  <si>
    <t>1,224.78</t>
  </si>
  <si>
    <t>631.82</t>
  </si>
  <si>
    <t>604.60</t>
  </si>
  <si>
    <t>617.56</t>
  </si>
  <si>
    <t>25.81</t>
  </si>
  <si>
    <t>2,598.55</t>
  </si>
  <si>
    <t>65.19</t>
  </si>
  <si>
    <t>30.28</t>
  </si>
  <si>
    <t>1,278.54</t>
  </si>
  <si>
    <t>64.83</t>
  </si>
  <si>
    <t>184.19</t>
  </si>
  <si>
    <t>127</t>
  </si>
  <si>
    <t>800</t>
  </si>
  <si>
    <t>1.42</t>
  </si>
  <si>
    <t>13</t>
  </si>
  <si>
    <t>1,090.13</t>
  </si>
  <si>
    <t>1,089.77</t>
  </si>
  <si>
    <t>3,601.14</t>
  </si>
  <si>
    <t>6.75</t>
  </si>
  <si>
    <t>11.23</t>
  </si>
  <si>
    <t>195.68</t>
  </si>
  <si>
    <t>51.81</t>
  </si>
  <si>
    <t>0.10</t>
  </si>
  <si>
    <t>1,024.95</t>
  </si>
  <si>
    <t>823.74</t>
  </si>
  <si>
    <t>194.44</t>
  </si>
  <si>
    <t>207.32</t>
  </si>
  <si>
    <t>31.44</t>
  </si>
  <si>
    <t>2,629.31</t>
  </si>
  <si>
    <t>971.83</t>
  </si>
  <si>
    <t>129.09</t>
  </si>
  <si>
    <t>2,719.63</t>
  </si>
  <si>
    <t>448.40</t>
  </si>
  <si>
    <t>910.64</t>
  </si>
  <si>
    <t>141</t>
  </si>
  <si>
    <t>1.00</t>
  </si>
  <si>
    <t>14</t>
  </si>
  <si>
    <t>1,192.88</t>
  </si>
  <si>
    <t>1,192.73</t>
  </si>
  <si>
    <t>4,858.70</t>
  </si>
  <si>
    <t>3.61</t>
  </si>
  <si>
    <t>11.40</t>
  </si>
  <si>
    <t>447.72</t>
  </si>
  <si>
    <t>52.14</t>
  </si>
  <si>
    <t>0.97</t>
  </si>
  <si>
    <t>1,080.81</t>
  </si>
  <si>
    <t>1,512.22</t>
  </si>
  <si>
    <t>396.46</t>
  </si>
  <si>
    <t>458.71</t>
  </si>
  <si>
    <t>33.75</t>
  </si>
  <si>
    <t>2,812.69</t>
  </si>
  <si>
    <t>2,046.01</t>
  </si>
  <si>
    <t>278.64</t>
  </si>
  <si>
    <t>464.20</t>
  </si>
  <si>
    <t>4,227.99</t>
  </si>
  <si>
    <t>1,041.40</t>
  </si>
  <si>
    <t>1,525.31</t>
  </si>
  <si>
    <t>146</t>
  </si>
  <si>
    <t>850</t>
  </si>
  <si>
    <t>0.93</t>
  </si>
  <si>
    <t>15</t>
  </si>
  <si>
    <t>Tập đoàn Gelex</t>
  </si>
  <si>
    <t>GEX</t>
  </si>
  <si>
    <t>Hàng &amp; Dịch vụ Công nghiệp</t>
  </si>
  <si>
    <t>0.00</t>
  </si>
  <si>
    <t>26.30</t>
  </si>
  <si>
    <t>18,086.26</t>
  </si>
  <si>
    <t>17,948.71</t>
  </si>
  <si>
    <t>27,152.09</t>
  </si>
  <si>
    <t>470.41</t>
  </si>
  <si>
    <t>640.85</t>
  </si>
  <si>
    <t>2,591.67</t>
  </si>
  <si>
    <t>12,175.55</t>
  </si>
  <si>
    <t>-</t>
  </si>
  <si>
    <t>429.54</t>
  </si>
  <si>
    <t>1,079.66</t>
  </si>
  <si>
    <t>979.65</t>
  </si>
  <si>
    <t>8,215.19</t>
  </si>
  <si>
    <t>18,936.91</t>
  </si>
  <si>
    <t>373.32</t>
  </si>
  <si>
    <t>1,559.24</t>
  </si>
  <si>
    <t>13,071.02</t>
  </si>
  <si>
    <t>10,831.29</t>
  </si>
  <si>
    <t>17.19</t>
  </si>
  <si>
    <t>3,236.25</t>
  </si>
  <si>
    <t>5,400.47</t>
  </si>
  <si>
    <t>30</t>
  </si>
  <si>
    <t>28,762.80</t>
  </si>
  <si>
    <t>28,578.40</t>
  </si>
  <si>
    <t>61,189.35</t>
  </si>
  <si>
    <t>887.04</t>
  </si>
  <si>
    <t>1,289.30</t>
  </si>
  <si>
    <t>709.83</t>
  </si>
  <si>
    <t>5,504.71</t>
  </si>
  <si>
    <t>2,867.77</t>
  </si>
  <si>
    <t>26,842.20</t>
  </si>
  <si>
    <t>219.86</t>
  </si>
  <si>
    <t>1,666.36</t>
  </si>
  <si>
    <t>20,497.80</t>
  </si>
  <si>
    <t>40,691.55</t>
  </si>
  <si>
    <t>4,906.11</t>
  </si>
  <si>
    <t>29,803.33</t>
  </si>
  <si>
    <t>22,713.33</t>
  </si>
  <si>
    <t>59.22</t>
  </si>
  <si>
    <t>11,533.26</t>
  </si>
  <si>
    <t>1,501</t>
  </si>
  <si>
    <t>10,165</t>
  </si>
  <si>
    <t>16,284.24</t>
  </si>
  <si>
    <t>31</t>
  </si>
  <si>
    <t>32,262.73</t>
  </si>
  <si>
    <t>32,088.75</t>
  </si>
  <si>
    <t>52,384.83</t>
  </si>
  <si>
    <t>1,289.96</t>
  </si>
  <si>
    <t>1,668.15</t>
  </si>
  <si>
    <t>5,766.45</t>
  </si>
  <si>
    <t>18,218.79</t>
  </si>
  <si>
    <t>1,755.60</t>
  </si>
  <si>
    <t>1,531.76</t>
  </si>
  <si>
    <t>21,043.38</t>
  </si>
  <si>
    <t>31,341.46</t>
  </si>
  <si>
    <t>19,800.29</t>
  </si>
  <si>
    <t>17,276.01</t>
  </si>
  <si>
    <t>12.28</t>
  </si>
  <si>
    <t>9,110.75</t>
  </si>
  <si>
    <t>9,870</t>
  </si>
  <si>
    <t>16,030,94</t>
  </si>
  <si>
    <t>32</t>
  </si>
  <si>
    <t>30,296.41</t>
  </si>
  <si>
    <t>29,997.84</t>
  </si>
  <si>
    <t>55,076.88</t>
  </si>
  <si>
    <t>1,140.67</t>
  </si>
  <si>
    <t>1,574.52</t>
  </si>
  <si>
    <t>627.11</t>
  </si>
  <si>
    <t>7,675.64</t>
  </si>
  <si>
    <t>6,973.14</t>
  </si>
  <si>
    <t>17,630.49</t>
  </si>
  <si>
    <t>2,119.99</t>
  </si>
  <si>
    <t>2,595.72</t>
  </si>
  <si>
    <t>27,467.80</t>
  </si>
  <si>
    <t>407.00</t>
  </si>
  <si>
    <t>863.88</t>
  </si>
  <si>
    <t>21,223.76</t>
  </si>
  <si>
    <t>33,853.12</t>
  </si>
  <si>
    <t>3,312.66</t>
  </si>
  <si>
    <t>20,299.05</t>
  </si>
  <si>
    <t>18,590.96</t>
  </si>
  <si>
    <t>8,323.63</t>
  </si>
  <si>
    <t>9,468</t>
  </si>
  <si>
    <t>33</t>
  </si>
  <si>
    <t>34,060.21</t>
  </si>
  <si>
    <t>33,752.31</t>
  </si>
  <si>
    <t>53,782.32</t>
  </si>
  <si>
    <t>1,278.64</t>
  </si>
  <si>
    <t>1,750.29</t>
  </si>
  <si>
    <t>606.68</t>
  </si>
  <si>
    <t>6,747.57</t>
  </si>
  <si>
    <t>7,624.80</t>
  </si>
  <si>
    <t>21,448.74</t>
  </si>
  <si>
    <t>2,315.85</t>
  </si>
  <si>
    <t>2,704.49</t>
  </si>
  <si>
    <t>30,452.69</t>
  </si>
  <si>
    <t>429.52</t>
  </si>
  <si>
    <t>2,669.33</t>
  </si>
  <si>
    <t>23,257.96</t>
  </si>
  <si>
    <t>30,524.36</t>
  </si>
  <si>
    <t>2,509.23</t>
  </si>
  <si>
    <t>4,074.20</t>
  </si>
  <si>
    <t>22,828.91</t>
  </si>
  <si>
    <t>16,997.35</t>
  </si>
  <si>
    <t>12.52</t>
  </si>
  <si>
    <t>8,684.60</t>
  </si>
  <si>
    <t>8,650</t>
  </si>
  <si>
    <t>12,977.16</t>
  </si>
  <si>
    <t>34</t>
  </si>
  <si>
    <t>Hoàng Anh Gia Lai</t>
  </si>
  <si>
    <t>HAG</t>
  </si>
  <si>
    <t>4.46</t>
  </si>
  <si>
    <t>927,399,283</t>
  </si>
  <si>
    <t>3,189.96</t>
  </si>
  <si>
    <t>3,176.65</t>
  </si>
  <si>
    <t>37,265.82</t>
  </si>
  <si>
    <t>354.58</t>
  </si>
  <si>
    <t>521.29</t>
  </si>
  <si>
    <t>1,967.18</t>
  </si>
  <si>
    <t>10,027.80</t>
  </si>
  <si>
    <t>27,238.02</t>
  </si>
  <si>
    <t>97.15</t>
  </si>
  <si>
    <t>8,930.38</t>
  </si>
  <si>
    <t>15,428.98</t>
  </si>
  <si>
    <t>53.06</t>
  </si>
  <si>
    <t>2,347.97</t>
  </si>
  <si>
    <t>3,313</t>
  </si>
  <si>
    <t>2,028.55</t>
  </si>
  <si>
    <t>2,187.42</t>
  </si>
  <si>
    <t>2,097.42</t>
  </si>
  <si>
    <t>18,439.68</t>
  </si>
  <si>
    <t>129.29</t>
  </si>
  <si>
    <t>174.28</t>
  </si>
  <si>
    <t>122.89</t>
  </si>
  <si>
    <t>190.93</t>
  </si>
  <si>
    <t>994.93</t>
  </si>
  <si>
    <t>127.61</t>
  </si>
  <si>
    <t>4,673.23</t>
  </si>
  <si>
    <t>13,766.45</t>
  </si>
  <si>
    <t>1,288.68</t>
  </si>
  <si>
    <t>72.37</t>
  </si>
  <si>
    <t>7,051.85</t>
  </si>
  <si>
    <t>6,754.51</t>
  </si>
  <si>
    <t>1,148.04</t>
  </si>
  <si>
    <t>219</t>
  </si>
  <si>
    <t>2,686.78</t>
  </si>
  <si>
    <t>34.50</t>
  </si>
  <si>
    <t>5,110.78</t>
  </si>
  <si>
    <t>19,798.39</t>
  </si>
  <si>
    <t>251.94</t>
  </si>
  <si>
    <t>261.68</t>
  </si>
  <si>
    <t>1,108.35</t>
  </si>
  <si>
    <t>808.18</t>
  </si>
  <si>
    <t>1,124.67</t>
  </si>
  <si>
    <t>5,194.74</t>
  </si>
  <si>
    <t>14,603.64</t>
  </si>
  <si>
    <t>37.34</t>
  </si>
  <si>
    <t>250.22</t>
  </si>
  <si>
    <t>8,038.56</t>
  </si>
  <si>
    <t>9,218.06</t>
  </si>
  <si>
    <t>143.67</t>
  </si>
  <si>
    <t>1,217</t>
  </si>
  <si>
    <t>2,333</t>
  </si>
  <si>
    <t>3,559.47</t>
  </si>
  <si>
    <t>16</t>
  </si>
  <si>
    <t>0.55</t>
  </si>
  <si>
    <t>2.62</t>
  </si>
  <si>
    <t>6,492.57</t>
  </si>
  <si>
    <t>6,442.40</t>
  </si>
  <si>
    <t>20,903.26</t>
  </si>
  <si>
    <t>255.06</t>
  </si>
  <si>
    <t>155.10</t>
  </si>
  <si>
    <t>254.14</t>
  </si>
  <si>
    <t>1,690.41</t>
  </si>
  <si>
    <t>696.80</t>
  </si>
  <si>
    <t>1,781.69</t>
  </si>
  <si>
    <t>6,677.47</t>
  </si>
  <si>
    <t>14,225.79</t>
  </si>
  <si>
    <t>101.11</t>
  </si>
  <si>
    <t>49.81</t>
  </si>
  <si>
    <t>41.81</t>
  </si>
  <si>
    <t>8,768.53</t>
  </si>
  <si>
    <t>9,710.40</t>
  </si>
  <si>
    <t>26.05</t>
  </si>
  <si>
    <t>928.72</t>
  </si>
  <si>
    <t>1,794</t>
  </si>
  <si>
    <t>1,748</t>
  </si>
  <si>
    <t>5,743.74</t>
  </si>
  <si>
    <t>17</t>
  </si>
  <si>
    <t>30.26</t>
  </si>
  <si>
    <t>10.36</t>
  </si>
  <si>
    <t>2.57</t>
  </si>
  <si>
    <t>1,057,399,283</t>
  </si>
  <si>
    <t>5,894.53</t>
  </si>
  <si>
    <t>5,783.05</t>
  </si>
  <si>
    <t>22,280.82</t>
  </si>
  <si>
    <t>396.49</t>
  </si>
  <si>
    <t>165.28</t>
  </si>
  <si>
    <t>247.85</t>
  </si>
  <si>
    <t>1,202.49</t>
  </si>
  <si>
    <t>525.23</t>
  </si>
  <si>
    <t>1,060.12</t>
  </si>
  <si>
    <t>9,325.63</t>
  </si>
  <si>
    <t>12,955.19</t>
  </si>
  <si>
    <t>484.11</t>
  </si>
  <si>
    <t>149.71</t>
  </si>
  <si>
    <t>8,435.36</t>
  </si>
  <si>
    <t>11,122.84</t>
  </si>
  <si>
    <t>694.46</t>
  </si>
  <si>
    <t>997</t>
  </si>
  <si>
    <t>6,319.16</t>
  </si>
  <si>
    <t>18</t>
  </si>
  <si>
    <t>Hòa Phát</t>
  </si>
  <si>
    <t>HPG</t>
  </si>
  <si>
    <t>Tài nguyên Cơ bản</t>
  </si>
  <si>
    <t>Tập đoàn Hoa Sen</t>
  </si>
  <si>
    <t>HSG</t>
  </si>
  <si>
    <t>11.69</t>
  </si>
  <si>
    <t>444,625,213</t>
  </si>
  <si>
    <t>27,530.75</t>
  </si>
  <si>
    <t>17,756.41</t>
  </si>
  <si>
    <t>1,375.00</t>
  </si>
  <si>
    <t>19,535.33</t>
  </si>
  <si>
    <t>1,794.83</t>
  </si>
  <si>
    <t>6,590.74</t>
  </si>
  <si>
    <t>11,165.67</t>
  </si>
  <si>
    <t>8,991.49</t>
  </si>
  <si>
    <t>5,523.84</t>
  </si>
  <si>
    <t>7,209</t>
  </si>
  <si>
    <t>19</t>
  </si>
  <si>
    <t>493,481,896</t>
  </si>
  <si>
    <t>48,987.33</t>
  </si>
  <si>
    <t>48,726.52</t>
  </si>
  <si>
    <t>26,618.03</t>
  </si>
  <si>
    <t>4,921.47</t>
  </si>
  <si>
    <t>42,143.23</t>
  </si>
  <si>
    <t>3,389.67</t>
  </si>
  <si>
    <t>4,313.51</t>
  </si>
  <si>
    <t>10,831.79</t>
  </si>
  <si>
    <t>15,786.24</t>
  </si>
  <si>
    <t>492.80</t>
  </si>
  <si>
    <t>14,372.25</t>
  </si>
  <si>
    <t>12,349.10</t>
  </si>
  <si>
    <t>8,465</t>
  </si>
  <si>
    <t>7,584</t>
  </si>
  <si>
    <t>20</t>
  </si>
  <si>
    <t>3.49</t>
  </si>
  <si>
    <t>6.61</t>
  </si>
  <si>
    <t>598,054,986</t>
  </si>
  <si>
    <t>50,090.14</t>
  </si>
  <si>
    <t>49,710.64</t>
  </si>
  <si>
    <t>17,025.41</t>
  </si>
  <si>
    <t>251.32</t>
  </si>
  <si>
    <t>10,883.57</t>
  </si>
  <si>
    <t>6,141.84</t>
  </si>
  <si>
    <t>330.13</t>
  </si>
  <si>
    <t>6,009.19</t>
  </si>
  <si>
    <t>7,395.31</t>
  </si>
  <si>
    <t>7,994</t>
  </si>
  <si>
    <t>21</t>
  </si>
  <si>
    <t>615,982,309</t>
  </si>
  <si>
    <t>32,084.30</t>
  </si>
  <si>
    <t>31,650.66</t>
  </si>
  <si>
    <t>17,365.31</t>
  </si>
  <si>
    <t>406.97</t>
  </si>
  <si>
    <t>30.06</t>
  </si>
  <si>
    <t>10,780.17</t>
  </si>
  <si>
    <t>6,585.14</t>
  </si>
  <si>
    <t>596.86</t>
  </si>
  <si>
    <t>6,568.89</t>
  </si>
  <si>
    <t>7,628.61</t>
  </si>
  <si>
    <t>7,402</t>
  </si>
  <si>
    <t>22</t>
  </si>
  <si>
    <t>620,982,309</t>
  </si>
  <si>
    <t>39,271.89</t>
  </si>
  <si>
    <t>473.06</t>
  </si>
  <si>
    <t>802</t>
  </si>
  <si>
    <t>7,975</t>
  </si>
  <si>
    <t>23</t>
  </si>
  <si>
    <t>Tập đoàn KIDO</t>
  </si>
  <si>
    <t>KDC</t>
  </si>
  <si>
    <t>11.06</t>
  </si>
  <si>
    <t>74.30</t>
  </si>
  <si>
    <t>26.04</t>
  </si>
  <si>
    <t>8,465.77</t>
  </si>
  <si>
    <t>8,323.62</t>
  </si>
  <si>
    <t>12,349.16</t>
  </si>
  <si>
    <t>1,044.23</t>
  </si>
  <si>
    <t>421.93</t>
  </si>
  <si>
    <t>1,898.10</t>
  </si>
  <si>
    <t>1,375.71</t>
  </si>
  <si>
    <t>407.90</t>
  </si>
  <si>
    <t>5,986.70</t>
  </si>
  <si>
    <t>571.93</t>
  </si>
  <si>
    <t>163.80</t>
  </si>
  <si>
    <t>388.70</t>
  </si>
  <si>
    <t>8,024.79</t>
  </si>
  <si>
    <t>330.24</t>
  </si>
  <si>
    <t>7,699.39</t>
  </si>
  <si>
    <t>4,649.77</t>
  </si>
  <si>
    <t>97.02</t>
  </si>
  <si>
    <t>115.35</t>
  </si>
  <si>
    <t>333.97</t>
  </si>
  <si>
    <t>1,102.12</t>
  </si>
  <si>
    <t>844.42</t>
  </si>
  <si>
    <t>5,477.50</t>
  </si>
  <si>
    <t>3,805.34</t>
  </si>
  <si>
    <t>15.45</t>
  </si>
  <si>
    <t>1,211.42</t>
  </si>
  <si>
    <t>337.99</t>
  </si>
  <si>
    <t>3,232</t>
  </si>
  <si>
    <t>778.47</t>
  </si>
  <si>
    <t>27</t>
  </si>
  <si>
    <t>13.79</t>
  </si>
  <si>
    <t>50.16</t>
  </si>
  <si>
    <t>18.00</t>
  </si>
  <si>
    <t>10,675.27</t>
  </si>
  <si>
    <t>10,496.86</t>
  </si>
  <si>
    <t>14,072.71</t>
  </si>
  <si>
    <t>1,196.59</t>
  </si>
  <si>
    <t>242.72</t>
  </si>
  <si>
    <t>1,794.76</t>
  </si>
  <si>
    <t>1,667.02</t>
  </si>
  <si>
    <t>688.52</t>
  </si>
  <si>
    <t>7,462.08</t>
  </si>
  <si>
    <t>983.77</t>
  </si>
  <si>
    <t>444.91</t>
  </si>
  <si>
    <t>426.84</t>
  </si>
  <si>
    <t>9,885.16</t>
  </si>
  <si>
    <t>653.29</t>
  </si>
  <si>
    <t>6,894.64</t>
  </si>
  <si>
    <t>7,178.06</t>
  </si>
  <si>
    <t>227.05</t>
  </si>
  <si>
    <t>1,281.30</t>
  </si>
  <si>
    <t>1,780.82</t>
  </si>
  <si>
    <t>7,013.59</t>
  </si>
  <si>
    <t>5,397.24</t>
  </si>
  <si>
    <t>26.11</t>
  </si>
  <si>
    <t>2,494.66</t>
  </si>
  <si>
    <t>335.27</t>
  </si>
  <si>
    <t>2,560.00</t>
  </si>
  <si>
    <t>3,438</t>
  </si>
  <si>
    <t>746.07</t>
  </si>
  <si>
    <t>28</t>
  </si>
  <si>
    <t>12.80</t>
  </si>
  <si>
    <t>55.28</t>
  </si>
  <si>
    <t>12,787.16</t>
  </si>
  <si>
    <t>12,535.18</t>
  </si>
  <si>
    <t>14,004.79</t>
  </si>
  <si>
    <t>1,446.02</t>
  </si>
  <si>
    <t>409.16</t>
  </si>
  <si>
    <t>1,698.66</t>
  </si>
  <si>
    <t>3,057.00</t>
  </si>
  <si>
    <t>498.51</t>
  </si>
  <si>
    <t>8,275.88</t>
  </si>
  <si>
    <t>1,985.70</t>
  </si>
  <si>
    <t>356.01</t>
  </si>
  <si>
    <t>677.06</t>
  </si>
  <si>
    <t>12,116.76</t>
  </si>
  <si>
    <t>374.66</t>
  </si>
  <si>
    <t>7,052.73</t>
  </si>
  <si>
    <t>6,952.07</t>
  </si>
  <si>
    <t>258.42</t>
  </si>
  <si>
    <t>1,100.15</t>
  </si>
  <si>
    <t>1,524.89</t>
  </si>
  <si>
    <t>6,980.39</t>
  </si>
  <si>
    <t>5,427.18</t>
  </si>
  <si>
    <t>19.42</t>
  </si>
  <si>
    <t>2,212.31</t>
  </si>
  <si>
    <t>308.93</t>
  </si>
  <si>
    <t>1,572.00</t>
  </si>
  <si>
    <t>3,861</t>
  </si>
  <si>
    <t>929.29</t>
  </si>
  <si>
    <t>29</t>
  </si>
  <si>
    <t>11.71</t>
  </si>
  <si>
    <t>45.70</t>
  </si>
  <si>
    <t>17.64</t>
  </si>
  <si>
    <t>8,905.54</t>
  </si>
  <si>
    <t>8,649.62</t>
  </si>
  <si>
    <t>12,391.01</t>
  </si>
  <si>
    <t>1,181.13</t>
  </si>
  <si>
    <t>422.01</t>
  </si>
  <si>
    <t>1,587.49</t>
  </si>
  <si>
    <t>1,497.84</t>
  </si>
  <si>
    <t>321.73</t>
  </si>
  <si>
    <t>6,450.58</t>
  </si>
  <si>
    <t>662.82</t>
  </si>
  <si>
    <t>266.87</t>
  </si>
  <si>
    <t>446.92</t>
  </si>
  <si>
    <t>8,716.55</t>
  </si>
  <si>
    <t>135.18</t>
  </si>
  <si>
    <t>7,113.92</t>
  </si>
  <si>
    <t>5,277.09</t>
  </si>
  <si>
    <t>838.28</t>
  </si>
  <si>
    <t>114.56</t>
  </si>
  <si>
    <t>581.88</t>
  </si>
  <si>
    <t>2,185.02</t>
  </si>
  <si>
    <t>1,063.03</t>
  </si>
  <si>
    <t>6,964.14</t>
  </si>
  <si>
    <t>4,214.06</t>
  </si>
  <si>
    <t>-31.00</t>
  </si>
  <si>
    <t>1,072.28</t>
  </si>
  <si>
    <t>0.02</t>
  </si>
  <si>
    <t>554.00</t>
  </si>
  <si>
    <t>3,173</t>
  </si>
  <si>
    <t>994.69</t>
  </si>
  <si>
    <t>18.30</t>
  </si>
  <si>
    <t>8,591.29</t>
  </si>
  <si>
    <t>8,323.81</t>
  </si>
  <si>
    <t>13,479.54</t>
  </si>
  <si>
    <t>1,135.04</t>
  </si>
  <si>
    <t>455.80</t>
  </si>
  <si>
    <t>1,649.01</t>
  </si>
  <si>
    <t>99.21</t>
  </si>
  <si>
    <t>251.67</t>
  </si>
  <si>
    <t>405.93</t>
  </si>
  <si>
    <t>66.88</t>
  </si>
  <si>
    <t>7,265.17</t>
  </si>
  <si>
    <t>6,214.37</t>
  </si>
  <si>
    <t>527.10</t>
  </si>
  <si>
    <t>104.17</t>
  </si>
  <si>
    <t>1,352.67</t>
  </si>
  <si>
    <t>1,632.41</t>
  </si>
  <si>
    <t>6,299.25</t>
  </si>
  <si>
    <t>4,581.96</t>
  </si>
  <si>
    <t>-3.77</t>
  </si>
  <si>
    <t>1,274.44</t>
  </si>
  <si>
    <t>440.95</t>
  </si>
  <si>
    <t>139.00</t>
  </si>
  <si>
    <t>3,568</t>
  </si>
  <si>
    <t>943.69</t>
  </si>
  <si>
    <t>Tập đoàn Masan</t>
  </si>
  <si>
    <t>MSN</t>
  </si>
  <si>
    <t>33.59</t>
  </si>
  <si>
    <t>1,174,683,246</t>
  </si>
  <si>
    <t>78,868.32</t>
  </si>
  <si>
    <t>77,217.81</t>
  </si>
  <si>
    <t>115,736.56</t>
  </si>
  <si>
    <t>13,166.09</t>
  </si>
  <si>
    <t>3,040.90</t>
  </si>
  <si>
    <t>15,238.15</t>
  </si>
  <si>
    <t>10,346.00</t>
  </si>
  <si>
    <t>87.33</t>
  </si>
  <si>
    <t>1,195.77</t>
  </si>
  <si>
    <t>25,030.28</t>
  </si>
  <si>
    <t>104,431.00</t>
  </si>
  <si>
    <t>90,706.28</t>
  </si>
  <si>
    <t>1,351.30</t>
  </si>
  <si>
    <t>3,678.16</t>
  </si>
  <si>
    <t>8,169.00</t>
  </si>
  <si>
    <t>43,181.58</t>
  </si>
  <si>
    <t>33,273.28</t>
  </si>
  <si>
    <t>38,874.66</t>
  </si>
  <si>
    <t>106.70</t>
  </si>
  <si>
    <t>12,497.92</t>
  </si>
  <si>
    <t>1,173.60</t>
  </si>
  <si>
    <t>1,054</t>
  </si>
  <si>
    <t>37,285</t>
  </si>
  <si>
    <t>31,151.63</t>
  </si>
  <si>
    <t>31.68</t>
  </si>
  <si>
    <t>1,180,534,692</t>
  </si>
  <si>
    <t>89,791.62</t>
  </si>
  <si>
    <t>88,628.77</t>
  </si>
  <si>
    <t>126,093.47</t>
  </si>
  <si>
    <t>11,786.34</t>
  </si>
  <si>
    <t>4,064.97</t>
  </si>
  <si>
    <t>11,292.76</t>
  </si>
  <si>
    <t>16,361.00</t>
  </si>
  <si>
    <t>115.58</t>
  </si>
  <si>
    <t>11,273.18</t>
  </si>
  <si>
    <t>42,336.65</t>
  </si>
  <si>
    <t>201,871.00</t>
  </si>
  <si>
    <t>83,756.82</t>
  </si>
  <si>
    <t>2,562.97</t>
  </si>
  <si>
    <t>2,805.43</t>
  </si>
  <si>
    <t>22,638.00</t>
  </si>
  <si>
    <t>39,371.92</t>
  </si>
  <si>
    <t>43,630.18</t>
  </si>
  <si>
    <t>51,831.62</t>
  </si>
  <si>
    <t>14.80</t>
  </si>
  <si>
    <t>12,813.39</t>
  </si>
  <si>
    <t>1,416.64</t>
  </si>
  <si>
    <t>7,269</t>
  </si>
  <si>
    <t>32,227</t>
  </si>
  <si>
    <t>27,925.59</t>
  </si>
  <si>
    <t>30.46</t>
  </si>
  <si>
    <t>1,423,724,783</t>
  </si>
  <si>
    <t>76,380.75</t>
  </si>
  <si>
    <t>76,189.23</t>
  </si>
  <si>
    <t>141,342.82</t>
  </si>
  <si>
    <t>12,511.54</t>
  </si>
  <si>
    <t>3,854.31</t>
  </si>
  <si>
    <t>12,106.24</t>
  </si>
  <si>
    <t>14,437.00</t>
  </si>
  <si>
    <t>86.18</t>
  </si>
  <si>
    <t>4,847.70</t>
  </si>
  <si>
    <t>36,636.74</t>
  </si>
  <si>
    <t>132,406.00</t>
  </si>
  <si>
    <t>104,706.08</t>
  </si>
  <si>
    <t>7,872.06</t>
  </si>
  <si>
    <t>4,165.32</t>
  </si>
  <si>
    <t>17,512.00</t>
  </si>
  <si>
    <t>30,425.63</t>
  </si>
  <si>
    <t>47,674.62</t>
  </si>
  <si>
    <t>65,320.88</t>
  </si>
  <si>
    <t>13,929.56</t>
  </si>
  <si>
    <t>1,138.98</t>
  </si>
  <si>
    <t>2,511</t>
  </si>
  <si>
    <t>37,112</t>
  </si>
  <si>
    <t>26,152.64</t>
  </si>
  <si>
    <t>1,430,843,406</t>
  </si>
  <si>
    <t>79,215.10</t>
  </si>
  <si>
    <t>78,251.62</t>
  </si>
  <si>
    <t>147,383.47</t>
  </si>
  <si>
    <t>14,192.36</t>
  </si>
  <si>
    <t>3,750.62</t>
  </si>
  <si>
    <t>11,040.75</t>
  </si>
  <si>
    <t>13,343.00</t>
  </si>
  <si>
    <t>76.39</t>
  </si>
  <si>
    <t>4,339.65</t>
  </si>
  <si>
    <t>38,237.24</t>
  </si>
  <si>
    <t>95,866.00</t>
  </si>
  <si>
    <t>109,146.23</t>
  </si>
  <si>
    <t>10,630.74</t>
  </si>
  <si>
    <t>3,176.50</t>
  </si>
  <si>
    <t>16,919.00</t>
  </si>
  <si>
    <t>30,258.84</t>
  </si>
  <si>
    <t>43,763.48</t>
  </si>
  <si>
    <t>50,422.50</t>
  </si>
  <si>
    <t>2.70</t>
  </si>
  <si>
    <t>13,174.87</t>
  </si>
  <si>
    <t>294</t>
  </si>
  <si>
    <t>35,895</t>
  </si>
  <si>
    <t>22,516.47</t>
  </si>
  <si>
    <t>3.63</t>
  </si>
  <si>
    <t>28.13</t>
  </si>
  <si>
    <t>1,512,928,087</t>
  </si>
  <si>
    <t>83,567.11</t>
  </si>
  <si>
    <t>83,178.00</t>
  </si>
  <si>
    <t>147,585.19</t>
  </si>
  <si>
    <t>14,565.26</t>
  </si>
  <si>
    <t>4,053.92</t>
  </si>
  <si>
    <t>10,753.86</t>
  </si>
  <si>
    <t>15,921.00</t>
  </si>
  <si>
    <t>62.89</t>
  </si>
  <si>
    <t>1,540.85</t>
  </si>
  <si>
    <t>40,751.52</t>
  </si>
  <si>
    <t>96,827.00</t>
  </si>
  <si>
    <t>106,833.67</t>
  </si>
  <si>
    <t>12,343.75</t>
  </si>
  <si>
    <t>2,763.30</t>
  </si>
  <si>
    <t>18,618.00</t>
  </si>
  <si>
    <t>35,413.78</t>
  </si>
  <si>
    <t>45,966.24</t>
  </si>
  <si>
    <t>64,574.63</t>
  </si>
  <si>
    <t>6.30</t>
  </si>
  <si>
    <t>10,787.00</t>
  </si>
  <si>
    <t>1,402</t>
  </si>
  <si>
    <t>34,835</t>
  </si>
  <si>
    <t>23,267.75</t>
  </si>
  <si>
    <t>Nhựa Hà Nội</t>
  </si>
  <si>
    <t>NHH</t>
  </si>
  <si>
    <t>Hóa chất</t>
  </si>
  <si>
    <t>0.14</t>
  </si>
  <si>
    <t>72.39</t>
  </si>
  <si>
    <t>36,440,000</t>
  </si>
  <si>
    <t>1,065.39</t>
  </si>
  <si>
    <t>1,064.16</t>
  </si>
  <si>
    <t>1,702.06</t>
  </si>
  <si>
    <t>32.47</t>
  </si>
  <si>
    <t>40.65</t>
  </si>
  <si>
    <t>8.87</t>
  </si>
  <si>
    <t>236.74</t>
  </si>
  <si>
    <t>137.16</t>
  </si>
  <si>
    <t>451.44</t>
  </si>
  <si>
    <t>11.74</t>
  </si>
  <si>
    <t>175.11</t>
  </si>
  <si>
    <t>863.93</t>
  </si>
  <si>
    <t>112.50</t>
  </si>
  <si>
    <t>638.68</t>
  </si>
  <si>
    <t>1,639.80</t>
  </si>
  <si>
    <t>1,063.39</t>
  </si>
  <si>
    <t>206.69</t>
  </si>
  <si>
    <t>203.07</t>
  </si>
  <si>
    <t>-151.62</t>
  </si>
  <si>
    <t>75.72</t>
  </si>
  <si>
    <t>478.74</t>
  </si>
  <si>
    <t>584.77</t>
  </si>
  <si>
    <t>584.64</t>
  </si>
  <si>
    <t>-13.66</t>
  </si>
  <si>
    <t>209.32</t>
  </si>
  <si>
    <t>34.44</t>
  </si>
  <si>
    <t>3,252</t>
  </si>
  <si>
    <t>1,712</t>
  </si>
  <si>
    <t>753.79</t>
  </si>
  <si>
    <t>48</t>
  </si>
  <si>
    <t>0.06</t>
  </si>
  <si>
    <t>71.69</t>
  </si>
  <si>
    <t>0.27</t>
  </si>
  <si>
    <t>2,091.27</t>
  </si>
  <si>
    <t>2,083.68</t>
  </si>
  <si>
    <t>1,896.87</t>
  </si>
  <si>
    <t>198.00</t>
  </si>
  <si>
    <t>63.84</t>
  </si>
  <si>
    <t>7.27</t>
  </si>
  <si>
    <t>522.29</t>
  </si>
  <si>
    <t>244.10</t>
  </si>
  <si>
    <t>1,218.33</t>
  </si>
  <si>
    <t>51.15</t>
  </si>
  <si>
    <t>408.28</t>
  </si>
  <si>
    <t>2,023.25</t>
  </si>
  <si>
    <t>72.18</t>
  </si>
  <si>
    <t>654.69</t>
  </si>
  <si>
    <t>1,548.70</t>
  </si>
  <si>
    <t>1,242.18</t>
  </si>
  <si>
    <t>-81.66</t>
  </si>
  <si>
    <t>58.81</t>
  </si>
  <si>
    <t>62.47</t>
  </si>
  <si>
    <t>88.93</t>
  </si>
  <si>
    <t>451.49</t>
  </si>
  <si>
    <t>843.53</t>
  </si>
  <si>
    <t>790.68</t>
  </si>
  <si>
    <t>95.81</t>
  </si>
  <si>
    <t>332.40</t>
  </si>
  <si>
    <t>36.44</t>
  </si>
  <si>
    <t>1,975</t>
  </si>
  <si>
    <t>2,318</t>
  </si>
  <si>
    <t>746.61</t>
  </si>
  <si>
    <t>49</t>
  </si>
  <si>
    <t>1.43</t>
  </si>
  <si>
    <t>75.10</t>
  </si>
  <si>
    <t>72,880,000</t>
  </si>
  <si>
    <t>2,388.78</t>
  </si>
  <si>
    <t>2,383.16</t>
  </si>
  <si>
    <t>2,386.75</t>
  </si>
  <si>
    <t>189.14</t>
  </si>
  <si>
    <t>68.59</t>
  </si>
  <si>
    <t>6.06</t>
  </si>
  <si>
    <t>519.58</t>
  </si>
  <si>
    <t>300.27</t>
  </si>
  <si>
    <t>1,337.52</t>
  </si>
  <si>
    <t>41.36</t>
  </si>
  <si>
    <t>390.09</t>
  </si>
  <si>
    <t>2,173.95</t>
  </si>
  <si>
    <t>111.93</t>
  </si>
  <si>
    <t>1,301.71</t>
  </si>
  <si>
    <t>728.80</t>
  </si>
  <si>
    <t>1,085.04</t>
  </si>
  <si>
    <t>50.21</t>
  </si>
  <si>
    <t>55.77</t>
  </si>
  <si>
    <t>-204.39</t>
  </si>
  <si>
    <t>357.14</t>
  </si>
  <si>
    <t>147.20</t>
  </si>
  <si>
    <t>1,258.54</t>
  </si>
  <si>
    <t>937.84</t>
  </si>
  <si>
    <t>14.37</t>
  </si>
  <si>
    <t>366.60</t>
  </si>
  <si>
    <t>36.41</t>
  </si>
  <si>
    <t>1,944</t>
  </si>
  <si>
    <t>1,766</t>
  </si>
  <si>
    <t>707.43</t>
  </si>
  <si>
    <t>50</t>
  </si>
  <si>
    <t>1.38</t>
  </si>
  <si>
    <t>0.42</t>
  </si>
  <si>
    <t>2,040.96</t>
  </si>
  <si>
    <t>2,039.28</t>
  </si>
  <si>
    <t>2,076.63</t>
  </si>
  <si>
    <t>92.58</t>
  </si>
  <si>
    <t>73.59</t>
  </si>
  <si>
    <t>424.83</t>
  </si>
  <si>
    <t>273.78</t>
  </si>
  <si>
    <t>1,107.57</t>
  </si>
  <si>
    <t>27.23</t>
  </si>
  <si>
    <t>294.25</t>
  </si>
  <si>
    <t>1,825.99</t>
  </si>
  <si>
    <t>96.24</t>
  </si>
  <si>
    <t>1,373.22</t>
  </si>
  <si>
    <t>703.41</t>
  </si>
  <si>
    <t>317.75</t>
  </si>
  <si>
    <t>48.58</t>
  </si>
  <si>
    <t>-358.03</t>
  </si>
  <si>
    <t>68.34</t>
  </si>
  <si>
    <t>37.13</t>
  </si>
  <si>
    <t>833.75</t>
  </si>
  <si>
    <t>666.29</t>
  </si>
  <si>
    <t>-14.43</t>
  </si>
  <si>
    <t>230.58</t>
  </si>
  <si>
    <t>36.43</t>
  </si>
  <si>
    <t>1,305</t>
  </si>
  <si>
    <t>1,604</t>
  </si>
  <si>
    <t>723.46</t>
  </si>
  <si>
    <t>51</t>
  </si>
  <si>
    <t>0.21</t>
  </si>
  <si>
    <t>65.50</t>
  </si>
  <si>
    <t>0.51</t>
  </si>
  <si>
    <t>2,098.73</t>
  </si>
  <si>
    <t>2,096.91</t>
  </si>
  <si>
    <t>1,930.23</t>
  </si>
  <si>
    <t>129.26</t>
  </si>
  <si>
    <t>83.24</t>
  </si>
  <si>
    <t>7.43</t>
  </si>
  <si>
    <t>460.49</t>
  </si>
  <si>
    <t>241.17</t>
  </si>
  <si>
    <t>993.95</t>
  </si>
  <si>
    <t>107.23</t>
  </si>
  <si>
    <t>339.80</t>
  </si>
  <si>
    <t>1,798.33</t>
  </si>
  <si>
    <t>87.85</t>
  </si>
  <si>
    <t>1,356.55</t>
  </si>
  <si>
    <t>573.69</t>
  </si>
  <si>
    <t>221.03</t>
  </si>
  <si>
    <t>138.50</t>
  </si>
  <si>
    <t>134.44</t>
  </si>
  <si>
    <t>191.95</t>
  </si>
  <si>
    <t>61.99</t>
  </si>
  <si>
    <t>835.18</t>
  </si>
  <si>
    <t>511.70</t>
  </si>
  <si>
    <t>2.83</t>
  </si>
  <si>
    <t>218.75</t>
  </si>
  <si>
    <t>1,180</t>
  </si>
  <si>
    <t>1,774</t>
  </si>
  <si>
    <t>764.65</t>
  </si>
  <si>
    <t>52</t>
  </si>
  <si>
    <t>Hóa dầu Petrolimex</t>
  </si>
  <si>
    <t>PLC</t>
  </si>
  <si>
    <t>0.50</t>
  </si>
  <si>
    <t>79.07</t>
  </si>
  <si>
    <t>97.52</t>
  </si>
  <si>
    <t>2.48</t>
  </si>
  <si>
    <t>80,798,839</t>
  </si>
  <si>
    <t>5,608.43</t>
  </si>
  <si>
    <t>4,702.06</t>
  </si>
  <si>
    <t>528.11</t>
  </si>
  <si>
    <t>204.21</t>
  </si>
  <si>
    <t>4.27</t>
  </si>
  <si>
    <t>149.68</t>
  </si>
  <si>
    <t>277.83</t>
  </si>
  <si>
    <t>1,054.21</t>
  </si>
  <si>
    <t>4,656.91</t>
  </si>
  <si>
    <t>15.91</t>
  </si>
  <si>
    <t>251.90</t>
  </si>
  <si>
    <t>1,812.24</t>
  </si>
  <si>
    <t>147.84</t>
  </si>
  <si>
    <t>1,256.49</t>
  </si>
  <si>
    <t>3,445.57</t>
  </si>
  <si>
    <t>481.88</t>
  </si>
  <si>
    <t>54.07</t>
  </si>
  <si>
    <t>-201.52</t>
  </si>
  <si>
    <t>698.53</t>
  </si>
  <si>
    <t>39.87</t>
  </si>
  <si>
    <t>3,550.52</t>
  </si>
  <si>
    <t>3,403.97</t>
  </si>
  <si>
    <t>-9.15</t>
  </si>
  <si>
    <t>121.20</t>
  </si>
  <si>
    <t>1,715</t>
  </si>
  <si>
    <t>805</t>
  </si>
  <si>
    <t>875.36</t>
  </si>
  <si>
    <t>26</t>
  </si>
  <si>
    <t>98.97</t>
  </si>
  <si>
    <t>1.03</t>
  </si>
  <si>
    <t>6,868.37</t>
  </si>
  <si>
    <t>4,827.92</t>
  </si>
  <si>
    <t>542.27</t>
  </si>
  <si>
    <t>187.30</t>
  </si>
  <si>
    <t>3.55</t>
  </si>
  <si>
    <t>180.45</t>
  </si>
  <si>
    <t>326.91</t>
  </si>
  <si>
    <t>1,085.78</t>
  </si>
  <si>
    <t>5,933.35</t>
  </si>
  <si>
    <t>49.46</t>
  </si>
  <si>
    <t>171.28</t>
  </si>
  <si>
    <t>1,950.40</t>
  </si>
  <si>
    <t>174.47</t>
  </si>
  <si>
    <t>1,373.50</t>
  </si>
  <si>
    <t>3,454.42</t>
  </si>
  <si>
    <t>327.46</t>
  </si>
  <si>
    <t>43.38</t>
  </si>
  <si>
    <t>-238.68</t>
  </si>
  <si>
    <t>375.86</t>
  </si>
  <si>
    <t>1.17</t>
  </si>
  <si>
    <t>3,782.71</t>
  </si>
  <si>
    <t>3,453.25</t>
  </si>
  <si>
    <t>22.47</t>
  </si>
  <si>
    <t>1,246.68</t>
  </si>
  <si>
    <t>1,960</t>
  </si>
  <si>
    <t>788</t>
  </si>
  <si>
    <t>815.11</t>
  </si>
  <si>
    <t>8,600.98</t>
  </si>
  <si>
    <t>4,621.26</t>
  </si>
  <si>
    <t>610.17</t>
  </si>
  <si>
    <t>143.25</t>
  </si>
  <si>
    <t>165.20</t>
  </si>
  <si>
    <t>290.55</t>
  </si>
  <si>
    <t>1,150.30</t>
  </si>
  <si>
    <t>7,509.68</t>
  </si>
  <si>
    <t>53.87</t>
  </si>
  <si>
    <t>205.40</t>
  </si>
  <si>
    <t>2,150.30</t>
  </si>
  <si>
    <t>116.96</t>
  </si>
  <si>
    <t>1,228.65</t>
  </si>
  <si>
    <t>3,392.61</t>
  </si>
  <si>
    <t>-375.88</t>
  </si>
  <si>
    <t>490.56</t>
  </si>
  <si>
    <t>5.22</t>
  </si>
  <si>
    <t>3,475.20</t>
  </si>
  <si>
    <t>3,387.39</t>
  </si>
  <si>
    <t>25.23</t>
  </si>
  <si>
    <t>1,431.77</t>
  </si>
  <si>
    <t>1,208</t>
  </si>
  <si>
    <t>772</t>
  </si>
  <si>
    <t>705.95</t>
  </si>
  <si>
    <t>0.04</t>
  </si>
  <si>
    <t>98.50</t>
  </si>
  <si>
    <t>1.50</t>
  </si>
  <si>
    <t>7,960.65</t>
  </si>
  <si>
    <t>4,239.39</t>
  </si>
  <si>
    <t>589.75</t>
  </si>
  <si>
    <t>159.80</t>
  </si>
  <si>
    <t>4.06</t>
  </si>
  <si>
    <t>170.55</t>
  </si>
  <si>
    <t>239.82</t>
  </si>
  <si>
    <t>1,179.96</t>
  </si>
  <si>
    <t>6,989.85</t>
  </si>
  <si>
    <t>37.40</t>
  </si>
  <si>
    <t>221.39</t>
  </si>
  <si>
    <t>2,340.50</t>
  </si>
  <si>
    <t>101.92</t>
  </si>
  <si>
    <t>1,313.48</t>
  </si>
  <si>
    <t>2,925.91</t>
  </si>
  <si>
    <t>413.95</t>
  </si>
  <si>
    <t>58.48</t>
  </si>
  <si>
    <t>-218.94</t>
  </si>
  <si>
    <t>549.95</t>
  </si>
  <si>
    <t>7.68</t>
  </si>
  <si>
    <t>3,356.36</t>
  </si>
  <si>
    <t>2,918.23</t>
  </si>
  <si>
    <t>-7.45</t>
  </si>
  <si>
    <t>1,373.32</t>
  </si>
  <si>
    <t>96.96</t>
  </si>
  <si>
    <t>1,173</t>
  </si>
  <si>
    <t>764</t>
  </si>
  <si>
    <t>701.89</t>
  </si>
  <si>
    <t>99.67</t>
  </si>
  <si>
    <t>0.33</t>
  </si>
  <si>
    <t>6,931.74</t>
  </si>
  <si>
    <t>4,079.95</t>
  </si>
  <si>
    <t>571.82</t>
  </si>
  <si>
    <t>110.68</t>
  </si>
  <si>
    <t>11.47</t>
  </si>
  <si>
    <t>162.30</t>
  </si>
  <si>
    <t>238.81</t>
  </si>
  <si>
    <t>1,247.98</t>
  </si>
  <si>
    <t>6,109.06</t>
  </si>
  <si>
    <t>47.21</t>
  </si>
  <si>
    <t>218.56</t>
  </si>
  <si>
    <t>2,210.15</t>
  </si>
  <si>
    <t>43.22</t>
  </si>
  <si>
    <t>1,249.65</t>
  </si>
  <si>
    <t>2,830.30</t>
  </si>
  <si>
    <t>5.89</t>
  </si>
  <si>
    <t>41.50</t>
  </si>
  <si>
    <t>-251.21</t>
  </si>
  <si>
    <t>287.64</t>
  </si>
  <si>
    <t>17.83</t>
  </si>
  <si>
    <t>3,238.68</t>
  </si>
  <si>
    <t>2,812.48</t>
  </si>
  <si>
    <t>-12.92</t>
  </si>
  <si>
    <t>1,054.34</t>
  </si>
  <si>
    <t>96.78</t>
  </si>
  <si>
    <t>535</t>
  </si>
  <si>
    <t>760</t>
  </si>
  <si>
    <t>630.17</t>
  </si>
  <si>
    <t>Petrolimex</t>
  </si>
  <si>
    <t>PLX</t>
  </si>
  <si>
    <t>Dầu khí</t>
  </si>
  <si>
    <t>75.87</t>
  </si>
  <si>
    <t>6.74</t>
  </si>
  <si>
    <t>15.70</t>
  </si>
  <si>
    <t>1,293,878,081</t>
  </si>
  <si>
    <t>124,001.50</t>
  </si>
  <si>
    <t>123,918.65</t>
  </si>
  <si>
    <t>61,106.21</t>
  </si>
  <si>
    <t>8,591.02</t>
  </si>
  <si>
    <t>819.68</t>
  </si>
  <si>
    <t>2,182.25</t>
  </si>
  <si>
    <t>2,776.08</t>
  </si>
  <si>
    <t>3,193.82</t>
  </si>
  <si>
    <t>113,878.71</t>
  </si>
  <si>
    <t>127.97</t>
  </si>
  <si>
    <t>5,207.19</t>
  </si>
  <si>
    <t>18,533.51</t>
  </si>
  <si>
    <t>1,252.57</t>
  </si>
  <si>
    <t>24,126.40</t>
  </si>
  <si>
    <t>69,870.00</t>
  </si>
  <si>
    <t>36,979.81</t>
  </si>
  <si>
    <t>5,349.36</t>
  </si>
  <si>
    <t>1,856.67</t>
  </si>
  <si>
    <t>-3,842.52</t>
  </si>
  <si>
    <t>10,611.74</t>
  </si>
  <si>
    <t>1,270.44</t>
  </si>
  <si>
    <t>37,796.82</t>
  </si>
  <si>
    <t>35,399.68</t>
  </si>
  <si>
    <t>-34.64</t>
  </si>
  <si>
    <t>9,399.53</t>
  </si>
  <si>
    <t>3,591.71</t>
  </si>
  <si>
    <t>613</t>
  </si>
  <si>
    <t>25,392</t>
  </si>
  <si>
    <t>13,395.78</t>
  </si>
  <si>
    <t>3.36</t>
  </si>
  <si>
    <t>17.20</t>
  </si>
  <si>
    <t>169,105.70</t>
  </si>
  <si>
    <t>169,008.61</t>
  </si>
  <si>
    <t>64,791.24</t>
  </si>
  <si>
    <t>9,073.26</t>
  </si>
  <si>
    <t>765.82</t>
  </si>
  <si>
    <t>2,265.63</t>
  </si>
  <si>
    <t>5,032.09</t>
  </si>
  <si>
    <t>3,893.97</t>
  </si>
  <si>
    <t>156,385.70</t>
  </si>
  <si>
    <t>181.85</t>
  </si>
  <si>
    <t>5,328.56</t>
  </si>
  <si>
    <t>20,030.75</t>
  </si>
  <si>
    <t>3,123.73</t>
  </si>
  <si>
    <t>28,260.19</t>
  </si>
  <si>
    <t>68,612.00</t>
  </si>
  <si>
    <t>36,531.05</t>
  </si>
  <si>
    <t>-656.32</t>
  </si>
  <si>
    <t>1,649.26</t>
  </si>
  <si>
    <t>-4,444.79</t>
  </si>
  <si>
    <t>6,192.50</t>
  </si>
  <si>
    <t>1,144.34</t>
  </si>
  <si>
    <t>44,795.53</t>
  </si>
  <si>
    <t>35,207.09</t>
  </si>
  <si>
    <t>36.39</t>
  </si>
  <si>
    <t>13,163.10</t>
  </si>
  <si>
    <t>1,522.58</t>
  </si>
  <si>
    <t>1,788</t>
  </si>
  <si>
    <t>26,153</t>
  </si>
  <si>
    <t>12,513.16</t>
  </si>
  <si>
    <t>3.03</t>
  </si>
  <si>
    <t>17.07</t>
  </si>
  <si>
    <t>304,171.61</t>
  </si>
  <si>
    <t>304,063.81</t>
  </si>
  <si>
    <t>74,475.62</t>
  </si>
  <si>
    <t>10,499.55</t>
  </si>
  <si>
    <t>823.26</t>
  </si>
  <si>
    <t>2,324.79</t>
  </si>
  <si>
    <t>3,165.18</t>
  </si>
  <si>
    <t>4,580.95</t>
  </si>
  <si>
    <t>291,744.17</t>
  </si>
  <si>
    <t>160.21</t>
  </si>
  <si>
    <t>3,933.11</t>
  </si>
  <si>
    <t>21,891.01</t>
  </si>
  <si>
    <t>1,902.23</t>
  </si>
  <si>
    <t>27,782.61</t>
  </si>
  <si>
    <t>41,294.00</t>
  </si>
  <si>
    <t>46,693.00</t>
  </si>
  <si>
    <t>5,091.76</t>
  </si>
  <si>
    <t>2,120.33</t>
  </si>
  <si>
    <t>5,389.48</t>
  </si>
  <si>
    <t>11,606.03</t>
  </si>
  <si>
    <t>823.35</t>
  </si>
  <si>
    <t>50,170.19</t>
  </si>
  <si>
    <t>45,694.58</t>
  </si>
  <si>
    <t>79.91</t>
  </si>
  <si>
    <t>17,232.37</t>
  </si>
  <si>
    <t>1,765.88</t>
  </si>
  <si>
    <t>11,958.99</t>
  </si>
  <si>
    <t>17.58</t>
  </si>
  <si>
    <t>274,082.36</t>
  </si>
  <si>
    <t>273,979.18</t>
  </si>
  <si>
    <t>79,675.62</t>
  </si>
  <si>
    <t>12,139.67</t>
  </si>
  <si>
    <t>949.36</t>
  </si>
  <si>
    <t>2,344.27</t>
  </si>
  <si>
    <t>4,359.66</t>
  </si>
  <si>
    <t>258,715.27</t>
  </si>
  <si>
    <t>138.07</t>
  </si>
  <si>
    <t>3,077.32</t>
  </si>
  <si>
    <t>29,202.11</t>
  </si>
  <si>
    <t>43,199.00</t>
  </si>
  <si>
    <t>50,473.51</t>
  </si>
  <si>
    <t>5,273.57</t>
  </si>
  <si>
    <t>1,652.02</t>
  </si>
  <si>
    <t>-7,074.85</t>
  </si>
  <si>
    <t>14,048.25</t>
  </si>
  <si>
    <t>646.81</t>
  </si>
  <si>
    <t>57,306.93</t>
  </si>
  <si>
    <t>49,660.61</t>
  </si>
  <si>
    <t>-9.89</t>
  </si>
  <si>
    <t>14,639.91</t>
  </si>
  <si>
    <t>1,094.99</t>
  </si>
  <si>
    <t>1,455</t>
  </si>
  <si>
    <t>26,262</t>
  </si>
  <si>
    <t>11,310.45</t>
  </si>
  <si>
    <t>284,124.01</t>
  </si>
  <si>
    <t>284,017.42</t>
  </si>
  <si>
    <t>81,274.63</t>
  </si>
  <si>
    <t>13,517.69</t>
  </si>
  <si>
    <t>1,040.70</t>
  </si>
  <si>
    <t>2,386.80</t>
  </si>
  <si>
    <t>4,970.11</t>
  </si>
  <si>
    <t>4,699.12</t>
  </si>
  <si>
    <t>266,666.11</t>
  </si>
  <si>
    <t>159.50</t>
  </si>
  <si>
    <t>4,351.54</t>
  </si>
  <si>
    <t>23,344.14</t>
  </si>
  <si>
    <t>3,161.15</t>
  </si>
  <si>
    <t>29,307.97</t>
  </si>
  <si>
    <t>53,365.00</t>
  </si>
  <si>
    <t>51,966.66</t>
  </si>
  <si>
    <t>4,948.64</t>
  </si>
  <si>
    <t>1,995.73</t>
  </si>
  <si>
    <t>2,551.48</t>
  </si>
  <si>
    <t>14,933.07</t>
  </si>
  <si>
    <t>487.10</t>
  </si>
  <si>
    <t>59,543.53</t>
  </si>
  <si>
    <t>51,179.62</t>
  </si>
  <si>
    <t>3.66</t>
  </si>
  <si>
    <t>15,746.69</t>
  </si>
  <si>
    <t>2,107.42</t>
  </si>
  <si>
    <t>1,767</t>
  </si>
  <si>
    <t>25,967</t>
  </si>
  <si>
    <t>11,198.73</t>
  </si>
  <si>
    <t>68</t>
  </si>
  <si>
    <t>Vàng Phú Nhuận</t>
  </si>
  <si>
    <t>PNJ</t>
  </si>
  <si>
    <t>Hàng cá nhân &amp; Gia dụng</t>
  </si>
  <si>
    <t>9.81</t>
  </si>
  <si>
    <t>25.07</t>
  </si>
  <si>
    <t>48.50</t>
  </si>
  <si>
    <t>227,612,362</t>
  </si>
  <si>
    <t>17,681.91</t>
  </si>
  <si>
    <t>17,510.79</t>
  </si>
  <si>
    <t>8,483.15</t>
  </si>
  <si>
    <t>1,420.86</t>
  </si>
  <si>
    <t>505.57</t>
  </si>
  <si>
    <t>650.37</t>
  </si>
  <si>
    <t>1,046.94</t>
  </si>
  <si>
    <t>1,421.29</t>
  </si>
  <si>
    <t>5,272.47</t>
  </si>
  <si>
    <t>14,076.06</t>
  </si>
  <si>
    <t>148.68</t>
  </si>
  <si>
    <t>618.85</t>
  </si>
  <si>
    <t>7,573.74</t>
  </si>
  <si>
    <t>1,069.31</t>
  </si>
  <si>
    <t>5,241.86</t>
  </si>
  <si>
    <t>18,208.99</t>
  </si>
  <si>
    <t>3,241.28</t>
  </si>
  <si>
    <t>1,496.91</t>
  </si>
  <si>
    <t>85.43</t>
  </si>
  <si>
    <t>-84.39</t>
  </si>
  <si>
    <t>422.23</t>
  </si>
  <si>
    <t>9.38</t>
  </si>
  <si>
    <t>7,143.93</t>
  </si>
  <si>
    <t>3,231.91</t>
  </si>
  <si>
    <t>3.00</t>
  </si>
  <si>
    <t>6,545.91</t>
  </si>
  <si>
    <t>355.10</t>
  </si>
  <si>
    <t>4,308</t>
  </si>
  <si>
    <t>6,191</t>
  </si>
  <si>
    <t>281.24</t>
  </si>
  <si>
    <t>20.92</t>
  </si>
  <si>
    <t>47.14</t>
  </si>
  <si>
    <t>19,735.65</t>
  </si>
  <si>
    <t>19,547.06</t>
  </si>
  <si>
    <t>10,619.02</t>
  </si>
  <si>
    <t>1,687.65</t>
  </si>
  <si>
    <t>501.82</t>
  </si>
  <si>
    <t>650.85</t>
  </si>
  <si>
    <t>1,059.98</t>
  </si>
  <si>
    <t>1,382.02</t>
  </si>
  <si>
    <t>6,533.67</t>
  </si>
  <si>
    <t>15,948.76</t>
  </si>
  <si>
    <t>147.60</t>
  </si>
  <si>
    <t>651.16</t>
  </si>
  <si>
    <t>9,061.96</t>
  </si>
  <si>
    <t>1,029.04</t>
  </si>
  <si>
    <t>6,012.63</t>
  </si>
  <si>
    <t>25,037.36</t>
  </si>
  <si>
    <t>4,606.38</t>
  </si>
  <si>
    <t>-722.37</t>
  </si>
  <si>
    <t>61.30</t>
  </si>
  <si>
    <t>-48.17</t>
  </si>
  <si>
    <t>355.45</t>
  </si>
  <si>
    <t>9,292.19</t>
  </si>
  <si>
    <t>4,563.00</t>
  </si>
  <si>
    <t>11.63</t>
  </si>
  <si>
    <t>8,754.74</t>
  </si>
  <si>
    <t>177.38</t>
  </si>
  <si>
    <t>3,184</t>
  </si>
  <si>
    <t>5,806</t>
  </si>
  <si>
    <t>259.14</t>
  </si>
  <si>
    <t>6.62</t>
  </si>
  <si>
    <t>50.98</t>
  </si>
  <si>
    <t>49.02</t>
  </si>
  <si>
    <t>246,171,620</t>
  </si>
  <si>
    <t>34,211.13</t>
  </si>
  <si>
    <t>33,876.45</t>
  </si>
  <si>
    <t>13,337.12</t>
  </si>
  <si>
    <t>2,828.21</t>
  </si>
  <si>
    <t>674.00</t>
  </si>
  <si>
    <t>642.70</t>
  </si>
  <si>
    <t>1,521.73</t>
  </si>
  <si>
    <t>2,416.98</t>
  </si>
  <si>
    <t>9,777.78</t>
  </si>
  <si>
    <t>27,949.35</t>
  </si>
  <si>
    <t>207.97</t>
  </si>
  <si>
    <t>955.14</t>
  </si>
  <si>
    <t>13,870.45</t>
  </si>
  <si>
    <t>1,212.12</t>
  </si>
  <si>
    <t>1,810.69</t>
  </si>
  <si>
    <t>8,444.09</t>
  </si>
  <si>
    <t>31,879.22</t>
  </si>
  <si>
    <t>4,893.03</t>
  </si>
  <si>
    <t>100.58</t>
  </si>
  <si>
    <t>52.38</t>
  </si>
  <si>
    <t>-370.67</t>
  </si>
  <si>
    <t>879.55</t>
  </si>
  <si>
    <t>9.97</t>
  </si>
  <si>
    <t>11,966.36</t>
  </si>
  <si>
    <t>4,883.06</t>
  </si>
  <si>
    <t>73.31</t>
  </si>
  <si>
    <t>10,506.05</t>
  </si>
  <si>
    <t>616.67</t>
  </si>
  <si>
    <t>5,223</t>
  </si>
  <si>
    <t>7,157</t>
  </si>
  <si>
    <t>239.73</t>
  </si>
  <si>
    <t>7.94</t>
  </si>
  <si>
    <t>13.21</t>
  </si>
  <si>
    <t>48.95</t>
  </si>
  <si>
    <t>328,169.188</t>
  </si>
  <si>
    <t>33,481.61</t>
  </si>
  <si>
    <t>33,136.93</t>
  </si>
  <si>
    <t>14,427.56</t>
  </si>
  <si>
    <t>2,835.77</t>
  </si>
  <si>
    <t>693.93</t>
  </si>
  <si>
    <t>626.34</t>
  </si>
  <si>
    <t>1,716.16</t>
  </si>
  <si>
    <t>2,565.39</t>
  </si>
  <si>
    <t>21,905.32</t>
  </si>
  <si>
    <t>27,078.34</t>
  </si>
  <si>
    <t>182.12</t>
  </si>
  <si>
    <t>1,167.85</t>
  </si>
  <si>
    <t>25,586.73</t>
  </si>
  <si>
    <t>1,971.10</t>
  </si>
  <si>
    <t>9,806.18</t>
  </si>
  <si>
    <t>30,847.90</t>
  </si>
  <si>
    <t>4,621.38</t>
  </si>
  <si>
    <t>1,507.74</t>
  </si>
  <si>
    <t>83.12</t>
  </si>
  <si>
    <t>-578.47</t>
  </si>
  <si>
    <t>896.15</t>
  </si>
  <si>
    <t>9.42</t>
  </si>
  <si>
    <t>12.958.12</t>
  </si>
  <si>
    <t>4,611.96</t>
  </si>
  <si>
    <t>-2.18</t>
  </si>
  <si>
    <t>10,940.94</t>
  </si>
  <si>
    <t>615.44</t>
  </si>
  <si>
    <t>5,436</t>
  </si>
  <si>
    <t>7,665</t>
  </si>
  <si>
    <t>256.37</t>
  </si>
  <si>
    <t>35</t>
  </si>
  <si>
    <t>6.27</t>
  </si>
  <si>
    <t>338,074,776</t>
  </si>
  <si>
    <t>38,232.40</t>
  </si>
  <si>
    <t>37,822.84</t>
  </si>
  <si>
    <t>17,207.73</t>
  </si>
  <si>
    <t>3.207.57</t>
  </si>
  <si>
    <t>795.75</t>
  </si>
  <si>
    <t>608.69</t>
  </si>
  <si>
    <t>1,955.05</t>
  </si>
  <si>
    <t>2,732.95</t>
  </si>
  <si>
    <t>22,351.66</t>
  </si>
  <si>
    <t>31,149.33</t>
  </si>
  <si>
    <t>249.86</t>
  </si>
  <si>
    <t>1,310.47</t>
  </si>
  <si>
    <t>27,066.55</t>
  </si>
  <si>
    <t>11,255.31</t>
  </si>
  <si>
    <t>36,478.27</t>
  </si>
  <si>
    <t>5,952.42</t>
  </si>
  <si>
    <t>83.19</t>
  </si>
  <si>
    <t>90.41</t>
  </si>
  <si>
    <t>-211.04</t>
  </si>
  <si>
    <t>1,122.71</t>
  </si>
  <si>
    <t>10.54</t>
  </si>
  <si>
    <t>15.692.60</t>
  </si>
  <si>
    <t>5,941.88</t>
  </si>
  <si>
    <t>14.14</t>
  </si>
  <si>
    <t>13,015.17</t>
  </si>
  <si>
    <t>671.68</t>
  </si>
  <si>
    <t>5,713</t>
  </si>
  <si>
    <t>248.43</t>
  </si>
  <si>
    <t>36</t>
  </si>
  <si>
    <t>Đầu tư ICAPITAL</t>
  </si>
  <si>
    <t>PTC</t>
  </si>
  <si>
    <t>53.76</t>
  </si>
  <si>
    <t>16,203,574</t>
  </si>
  <si>
    <t>0.17</t>
  </si>
  <si>
    <t>-0.51</t>
  </si>
  <si>
    <t>304.42</t>
  </si>
  <si>
    <t>8.30</t>
  </si>
  <si>
    <t>6.92</t>
  </si>
  <si>
    <t>69.07</t>
  </si>
  <si>
    <t>0.29</t>
  </si>
  <si>
    <t>0.58</t>
  </si>
  <si>
    <t>8.31</t>
  </si>
  <si>
    <t>58.32</t>
  </si>
  <si>
    <t>262.71</t>
  </si>
  <si>
    <t>41.71</t>
  </si>
  <si>
    <t>-30.48</t>
  </si>
  <si>
    <t>3.98</t>
  </si>
  <si>
    <t>40.59</t>
  </si>
  <si>
    <t>4.90</t>
  </si>
  <si>
    <t>148.33</t>
  </si>
  <si>
    <t>41.66</t>
  </si>
  <si>
    <t>3,599</t>
  </si>
  <si>
    <t>8</t>
  </si>
  <si>
    <t>5.68</t>
  </si>
  <si>
    <t>44.50</t>
  </si>
  <si>
    <t>0.38</t>
  </si>
  <si>
    <t>16,985,299</t>
  </si>
  <si>
    <t>-0.60</t>
  </si>
  <si>
    <t>557.54</t>
  </si>
  <si>
    <t>3.87</t>
  </si>
  <si>
    <t>2.19</t>
  </si>
  <si>
    <t>70.88</t>
  </si>
  <si>
    <t>0.46</t>
  </si>
  <si>
    <t>0.88</t>
  </si>
  <si>
    <t>57.05</t>
  </si>
  <si>
    <t>347.03</t>
  </si>
  <si>
    <t>210.51</t>
  </si>
  <si>
    <t>47.19</t>
  </si>
  <si>
    <t>0.03</t>
  </si>
  <si>
    <t>0.82</t>
  </si>
  <si>
    <t>79.15</t>
  </si>
  <si>
    <t>224.01</t>
  </si>
  <si>
    <t>3,525</t>
  </si>
  <si>
    <t>6</t>
  </si>
  <si>
    <t>4.94</t>
  </si>
  <si>
    <t>24.15</t>
  </si>
  <si>
    <t>0.94</t>
  </si>
  <si>
    <t>32,191,624</t>
  </si>
  <si>
    <t>69.25</t>
  </si>
  <si>
    <t>1,211.66</t>
  </si>
  <si>
    <t>13.64</t>
  </si>
  <si>
    <t>54.37</t>
  </si>
  <si>
    <t>-60.75</t>
  </si>
  <si>
    <t>1.62</t>
  </si>
  <si>
    <t>42.31</t>
  </si>
  <si>
    <t>11.02</t>
  </si>
  <si>
    <t>59.72</t>
  </si>
  <si>
    <t>-60.53</t>
  </si>
  <si>
    <t>507.88</t>
  </si>
  <si>
    <t>703.78</t>
  </si>
  <si>
    <t>-103.49</t>
  </si>
  <si>
    <t>-26.96</t>
  </si>
  <si>
    <t>5.69</t>
  </si>
  <si>
    <t>583.45</t>
  </si>
  <si>
    <t>171.75</t>
  </si>
  <si>
    <t>120.33</t>
  </si>
  <si>
    <t>-1,713</t>
  </si>
  <si>
    <t>816.09</t>
  </si>
  <si>
    <t>24.14</t>
  </si>
  <si>
    <t>0.80</t>
  </si>
  <si>
    <t>1.32</t>
  </si>
  <si>
    <t>107.72</t>
  </si>
  <si>
    <t>1,156.21</t>
  </si>
  <si>
    <t>16.27</t>
  </si>
  <si>
    <t>60.72</t>
  </si>
  <si>
    <t>15.23</t>
  </si>
  <si>
    <t>1.34</t>
  </si>
  <si>
    <t>51.03</t>
  </si>
  <si>
    <t>7.88</t>
  </si>
  <si>
    <t>67.31</t>
  </si>
  <si>
    <t>14.02</t>
  </si>
  <si>
    <t>521.90</t>
  </si>
  <si>
    <t>634.31</t>
  </si>
  <si>
    <t>90.38</t>
  </si>
  <si>
    <t>-21.11</t>
  </si>
  <si>
    <t>442.17</t>
  </si>
  <si>
    <t>173.30</t>
  </si>
  <si>
    <t>192.14</t>
  </si>
  <si>
    <t>311</t>
  </si>
  <si>
    <t>772.91</t>
  </si>
  <si>
    <t>405.20</t>
  </si>
  <si>
    <t>4.14</t>
  </si>
  <si>
    <t>1.98</t>
  </si>
  <si>
    <t>18.44</t>
  </si>
  <si>
    <t>0.79</t>
  </si>
  <si>
    <t>19.36</t>
  </si>
  <si>
    <t>378.17</t>
  </si>
  <si>
    <t>27.04</t>
  </si>
  <si>
    <t>-153.08</t>
  </si>
  <si>
    <t>137.66</t>
  </si>
  <si>
    <t>3.07</t>
  </si>
  <si>
    <t>230.85</t>
  </si>
  <si>
    <t>601</t>
  </si>
  <si>
    <t>2.63</t>
  </si>
  <si>
    <t>SABECO</t>
  </si>
  <si>
    <t>SAB</t>
  </si>
  <si>
    <t>36.00</t>
  </si>
  <si>
    <t>54.50</t>
  </si>
  <si>
    <t>9.49</t>
  </si>
  <si>
    <t>641,281,186</t>
  </si>
  <si>
    <t>28,135.62</t>
  </si>
  <si>
    <t>27,961.32</t>
  </si>
  <si>
    <t>27,374.97</t>
  </si>
  <si>
    <t>2,859.04</t>
  </si>
  <si>
    <t>702.01</t>
  </si>
  <si>
    <t>942.98</t>
  </si>
  <si>
    <t>542.20</t>
  </si>
  <si>
    <t>6,702.38</t>
  </si>
  <si>
    <t>5,367.65</t>
  </si>
  <si>
    <t>872.77</t>
  </si>
  <si>
    <t>214.18</t>
  </si>
  <si>
    <t>2,876.73</t>
  </si>
  <si>
    <t>10,887.14</t>
  </si>
  <si>
    <t>-0.08</t>
  </si>
  <si>
    <t>4,936.85</t>
  </si>
  <si>
    <t>21,215.28</t>
  </si>
  <si>
    <t>128,576.88</t>
  </si>
  <si>
    <t>3,109.21</t>
  </si>
  <si>
    <t>-34.22</t>
  </si>
  <si>
    <t>2,504.12</t>
  </si>
  <si>
    <t>2,726.14</t>
  </si>
  <si>
    <t>-526.26</t>
  </si>
  <si>
    <t>19,513.38</t>
  </si>
  <si>
    <t>-26.20</t>
  </si>
  <si>
    <t>1,525.04</t>
  </si>
  <si>
    <t>-2,244.48</t>
  </si>
  <si>
    <t>7,145</t>
  </si>
  <si>
    <t>8,388</t>
  </si>
  <si>
    <t>3,753.39</t>
  </si>
  <si>
    <t>145</t>
  </si>
  <si>
    <t>26,578.01</t>
  </si>
  <si>
    <t>26,373.75</t>
  </si>
  <si>
    <t>30,487.02</t>
  </si>
  <si>
    <t>3,500.37</t>
  </si>
  <si>
    <t>597.72</t>
  </si>
  <si>
    <t>933.18</t>
  </si>
  <si>
    <t>403.35</t>
  </si>
  <si>
    <t>5,420.81</t>
  </si>
  <si>
    <t>5,271.61</t>
  </si>
  <si>
    <t>775.72</t>
  </si>
  <si>
    <t>183.11</t>
  </si>
  <si>
    <t>3,376.12</t>
  </si>
  <si>
    <t>11,041.19</t>
  </si>
  <si>
    <t>3,929.31</t>
  </si>
  <si>
    <t>22,594.79</t>
  </si>
  <si>
    <t>97,474.74</t>
  </si>
  <si>
    <t>3,517.85</t>
  </si>
  <si>
    <t>-37.78</t>
  </si>
  <si>
    <t>1,154.20</t>
  </si>
  <si>
    <t>3,606.45</t>
  </si>
  <si>
    <t>-341.23</t>
  </si>
  <si>
    <t>22,877.03</t>
  </si>
  <si>
    <t>-5.70</t>
  </si>
  <si>
    <t>1,668.00</t>
  </si>
  <si>
    <t>5,502</t>
  </si>
  <si>
    <t>8,135</t>
  </si>
  <si>
    <t>3,301.13</t>
  </si>
  <si>
    <t>54.70</t>
  </si>
  <si>
    <t>9.01</t>
  </si>
  <si>
    <t>35,235.90</t>
  </si>
  <si>
    <t>34,979.08</t>
  </si>
  <si>
    <t>34,465.08</t>
  </si>
  <si>
    <t>4,532.07</t>
  </si>
  <si>
    <t>740.67</t>
  </si>
  <si>
    <t>923.74</t>
  </si>
  <si>
    <t>487.12</t>
  </si>
  <si>
    <t>7,419.10</t>
  </si>
  <si>
    <t>6,425.12</t>
  </si>
  <si>
    <t>915.13</t>
  </si>
  <si>
    <t>224.50</t>
  </si>
  <si>
    <t>3,890.10</t>
  </si>
  <si>
    <t>13,504.20</t>
  </si>
  <si>
    <t>-0.07</t>
  </si>
  <si>
    <t>5,499.80</t>
  </si>
  <si>
    <t>24,590.85</t>
  </si>
  <si>
    <t>108,376.52</t>
  </si>
  <si>
    <t>4,378.52</t>
  </si>
  <si>
    <t>-162.26</t>
  </si>
  <si>
    <t>1,200.50</t>
  </si>
  <si>
    <t>4,069.46</t>
  </si>
  <si>
    <t>-374.43</t>
  </si>
  <si>
    <t>26,860.22</t>
  </si>
  <si>
    <t>32.60</t>
  </si>
  <si>
    <t>2,193.52</t>
  </si>
  <si>
    <t>-3,206.41</t>
  </si>
  <si>
    <t>7,954</t>
  </si>
  <si>
    <t>8,139</t>
  </si>
  <si>
    <t>3,368.98</t>
  </si>
  <si>
    <t>147</t>
  </si>
  <si>
    <t>54.44</t>
  </si>
  <si>
    <t>8.11</t>
  </si>
  <si>
    <t>1,282,562,372</t>
  </si>
  <si>
    <t>30,706.76</t>
  </si>
  <si>
    <t>30,461.37</t>
  </si>
  <si>
    <t>34,056.62</t>
  </si>
  <si>
    <t>4,479.23</t>
  </si>
  <si>
    <t>800.69</t>
  </si>
  <si>
    <t>923.08</t>
  </si>
  <si>
    <t>619.07</t>
  </si>
  <si>
    <t>6,002.12</t>
  </si>
  <si>
    <t>7,257.58</t>
  </si>
  <si>
    <t>1,125.40</t>
  </si>
  <si>
    <t>234.56</t>
  </si>
  <si>
    <t>4,200.41</t>
  </si>
  <si>
    <t>14,532.76</t>
  </si>
  <si>
    <t>4,255.05</t>
  </si>
  <si>
    <t>25,485.16</t>
  </si>
  <si>
    <t>75,671.18</t>
  </si>
  <si>
    <t>1,940.06</t>
  </si>
  <si>
    <t>-34.31</t>
  </si>
  <si>
    <t>2,715.58</t>
  </si>
  <si>
    <t>5,039.91</t>
  </si>
  <si>
    <t>-245.38</t>
  </si>
  <si>
    <t>26,553.41</t>
  </si>
  <si>
    <t>-12.90</t>
  </si>
  <si>
    <t>2,317.50</t>
  </si>
  <si>
    <t>-4,489.00</t>
  </si>
  <si>
    <t>3,134</t>
  </si>
  <si>
    <t>2,889.61</t>
  </si>
  <si>
    <t>148</t>
  </si>
  <si>
    <t>54.40</t>
  </si>
  <si>
    <t>7.10</t>
  </si>
  <si>
    <t>32,164.26</t>
  </si>
  <si>
    <t>31,872.42</t>
  </si>
  <si>
    <t>33,439.41</t>
  </si>
  <si>
    <t>4,041.56</t>
  </si>
  <si>
    <t>839.41</t>
  </si>
  <si>
    <t>957.36</t>
  </si>
  <si>
    <t>675.00</t>
  </si>
  <si>
    <t>6,252.50</t>
  </si>
  <si>
    <t>7,849.17</t>
  </si>
  <si>
    <t>1,010.31</t>
  </si>
  <si>
    <t>236.34</t>
  </si>
  <si>
    <t>3,878.65</t>
  </si>
  <si>
    <t>14,669.46</t>
  </si>
  <si>
    <t>4,494.77</t>
  </si>
  <si>
    <t>24,437.09</t>
  </si>
  <si>
    <t>72,447.77</t>
  </si>
  <si>
    <t>4,100.50</t>
  </si>
  <si>
    <t>-24.87</t>
  </si>
  <si>
    <t>1,670.40</t>
  </si>
  <si>
    <t>4,477.50</t>
  </si>
  <si>
    <t>-194.37</t>
  </si>
  <si>
    <t>25,066.73</t>
  </si>
  <si>
    <t>4.60</t>
  </si>
  <si>
    <t>1,978.54</t>
  </si>
  <si>
    <t>-6,412.81</t>
  </si>
  <si>
    <t>3,291</t>
  </si>
  <si>
    <t>8.139</t>
  </si>
  <si>
    <t>2,484.11</t>
  </si>
  <si>
    <t>149</t>
  </si>
  <si>
    <t>Traphaco</t>
  </si>
  <si>
    <t>TRA</t>
  </si>
  <si>
    <t>Y tế</t>
  </si>
  <si>
    <t>5.30</t>
  </si>
  <si>
    <t>35.67</t>
  </si>
  <si>
    <t>40.12</t>
  </si>
  <si>
    <t>41,453,673</t>
  </si>
  <si>
    <t>1,914.34</t>
  </si>
  <si>
    <t>1,908.87</t>
  </si>
  <si>
    <t>1,650.83</t>
  </si>
  <si>
    <t>507.99</t>
  </si>
  <si>
    <t>254.35</t>
  </si>
  <si>
    <t>54.45</t>
  </si>
  <si>
    <t>508.06</t>
  </si>
  <si>
    <t>346.42</t>
  </si>
  <si>
    <t>487.86</t>
  </si>
  <si>
    <t>247.16</t>
  </si>
  <si>
    <t>34.76</t>
  </si>
  <si>
    <t>160.80</t>
  </si>
  <si>
    <t>1,408.28</t>
  </si>
  <si>
    <t>216.75</t>
  </si>
  <si>
    <t>1,172.45</t>
  </si>
  <si>
    <t>2,968.08</t>
  </si>
  <si>
    <t>478.38</t>
  </si>
  <si>
    <t>346.28</t>
  </si>
  <si>
    <t>44.12</t>
  </si>
  <si>
    <t>-132.43</t>
  </si>
  <si>
    <t>210.88</t>
  </si>
  <si>
    <t>44.56</t>
  </si>
  <si>
    <t>1,010.17</t>
  </si>
  <si>
    <t>433.82</t>
  </si>
  <si>
    <t>11.58</t>
  </si>
  <si>
    <t>351.80</t>
  </si>
  <si>
    <t>138.09</t>
  </si>
  <si>
    <t>4,185</t>
  </si>
  <si>
    <t>1,437</t>
  </si>
  <si>
    <t>534.11</t>
  </si>
  <si>
    <t>2,167.90</t>
  </si>
  <si>
    <t>2,160.84</t>
  </si>
  <si>
    <t>1,707.10</t>
  </si>
  <si>
    <t>554.76</t>
  </si>
  <si>
    <t>266.09</t>
  </si>
  <si>
    <t>59.63</t>
  </si>
  <si>
    <t>607.68</t>
  </si>
  <si>
    <t>416.36</t>
  </si>
  <si>
    <t>555.20</t>
  </si>
  <si>
    <t>246.68</t>
  </si>
  <si>
    <t>55.96</t>
  </si>
  <si>
    <t>263.30</t>
  </si>
  <si>
    <t>1,542.66</t>
  </si>
  <si>
    <t>264.47</t>
  </si>
  <si>
    <t>1,267.53</t>
  </si>
  <si>
    <t>3,780.57</t>
  </si>
  <si>
    <t>439.57</t>
  </si>
  <si>
    <t>290.47</t>
  </si>
  <si>
    <t>31.42</t>
  </si>
  <si>
    <t>-209.07</t>
  </si>
  <si>
    <t>176.03</t>
  </si>
  <si>
    <t>1,093.98</t>
  </si>
  <si>
    <t>13.20</t>
  </si>
  <si>
    <t>382.43</t>
  </si>
  <si>
    <t>222.22</t>
  </si>
  <si>
    <t>5,177</t>
  </si>
  <si>
    <t>1,434</t>
  </si>
  <si>
    <t>484.35</t>
  </si>
  <si>
    <t>2,408.43</t>
  </si>
  <si>
    <t>2,398.92</t>
  </si>
  <si>
    <t>1,816.27</t>
  </si>
  <si>
    <t>660.73</t>
  </si>
  <si>
    <t>331.89</t>
  </si>
  <si>
    <t>714.52</t>
  </si>
  <si>
    <t>453.50</t>
  </si>
  <si>
    <t>537.53</t>
  </si>
  <si>
    <t>305.78</t>
  </si>
  <si>
    <t>74.47</t>
  </si>
  <si>
    <t>350.82</t>
  </si>
  <si>
    <t>1,725.57</t>
  </si>
  <si>
    <t>293.52</t>
  </si>
  <si>
    <t>1,380.56</t>
  </si>
  <si>
    <t>3,689.38</t>
  </si>
  <si>
    <t>435.71</t>
  </si>
  <si>
    <t>247.66</t>
  </si>
  <si>
    <t>58.70</t>
  </si>
  <si>
    <t>-73.39</t>
  </si>
  <si>
    <t>1,226.50</t>
  </si>
  <si>
    <t>11.01</t>
  </si>
  <si>
    <t>479.01</t>
  </si>
  <si>
    <t>132.89</t>
  </si>
  <si>
    <t>5,691</t>
  </si>
  <si>
    <t>1,476</t>
  </si>
  <si>
    <t>457.25</t>
  </si>
  <si>
    <t>45.12</t>
  </si>
  <si>
    <t>2,302.41</t>
  </si>
  <si>
    <t>2,299.24</t>
  </si>
  <si>
    <t>2,123.90</t>
  </si>
  <si>
    <t>614.37</t>
  </si>
  <si>
    <t>297.19</t>
  </si>
  <si>
    <t>58.82</t>
  </si>
  <si>
    <t>688.10</t>
  </si>
  <si>
    <t>453.96</t>
  </si>
  <si>
    <t>518.71</t>
  </si>
  <si>
    <t>334.87</t>
  </si>
  <si>
    <t>62.25</t>
  </si>
  <si>
    <t>363.65</t>
  </si>
  <si>
    <t>1,619.52</t>
  </si>
  <si>
    <t>285.27</t>
  </si>
  <si>
    <t>1,489.05</t>
  </si>
  <si>
    <t>634.85</t>
  </si>
  <si>
    <t>287.97</t>
  </si>
  <si>
    <t>100.53</t>
  </si>
  <si>
    <t>-168.39</t>
  </si>
  <si>
    <t>367.08</t>
  </si>
  <si>
    <t>1,530.49</t>
  </si>
  <si>
    <t>-4.17</t>
  </si>
  <si>
    <t>467.90</t>
  </si>
  <si>
    <t>56.54</t>
  </si>
  <si>
    <t>5,535</t>
  </si>
  <si>
    <t>1,481</t>
  </si>
  <si>
    <t>449.04</t>
  </si>
  <si>
    <t>2,352.29</t>
  </si>
  <si>
    <t>2,347.22</t>
  </si>
  <si>
    <t>2,168.91</t>
  </si>
  <si>
    <t>625.02</t>
  </si>
  <si>
    <t>304.98</t>
  </si>
  <si>
    <t>59.99</t>
  </si>
  <si>
    <t>693.80</t>
  </si>
  <si>
    <t>415.29</t>
  </si>
  <si>
    <t>583.90</t>
  </si>
  <si>
    <t>366.29</t>
  </si>
  <si>
    <t>64.84</t>
  </si>
  <si>
    <t>1,697.38</t>
  </si>
  <si>
    <t>257.36</t>
  </si>
  <si>
    <t>1,532.70</t>
  </si>
  <si>
    <t>3,254.11</t>
  </si>
  <si>
    <t>636.21</t>
  </si>
  <si>
    <t>159.72</t>
  </si>
  <si>
    <t>86.67</t>
  </si>
  <si>
    <t>-163.07</t>
  </si>
  <si>
    <t>208.30</t>
  </si>
  <si>
    <t>1,594.03</t>
  </si>
  <si>
    <t>2.09</t>
  </si>
  <si>
    <t>549.33</t>
  </si>
  <si>
    <t>177.48</t>
  </si>
  <si>
    <t>4,990</t>
  </si>
  <si>
    <t>1,670</t>
  </si>
  <si>
    <t>435.65</t>
  </si>
  <si>
    <t>VINACONTROL</t>
  </si>
  <si>
    <t>VNC</t>
  </si>
  <si>
    <t>25.89</t>
  </si>
  <si>
    <t>30.00</t>
  </si>
  <si>
    <t>13.22</t>
  </si>
  <si>
    <t>10,499,560</t>
  </si>
  <si>
    <t>578.93</t>
  </si>
  <si>
    <t>352.85</t>
  </si>
  <si>
    <t>31.06</t>
  </si>
  <si>
    <t>50.59</t>
  </si>
  <si>
    <t>12.65</t>
  </si>
  <si>
    <t>118.37</t>
  </si>
  <si>
    <t>66.50</t>
  </si>
  <si>
    <t>17.80</t>
  </si>
  <si>
    <t>63.73</t>
  </si>
  <si>
    <t>532.02</t>
  </si>
  <si>
    <t>36.17</t>
  </si>
  <si>
    <t>239.62</t>
  </si>
  <si>
    <t>113.24</t>
  </si>
  <si>
    <t>45.45</t>
  </si>
  <si>
    <t>24.70</t>
  </si>
  <si>
    <t>-26.63</t>
  </si>
  <si>
    <t>87.54</t>
  </si>
  <si>
    <t>10.21</t>
  </si>
  <si>
    <t>197.12</t>
  </si>
  <si>
    <t>103.03</t>
  </si>
  <si>
    <t>2.78</t>
  </si>
  <si>
    <t>2.24</t>
  </si>
  <si>
    <t>16.54</t>
  </si>
  <si>
    <t>3,024</t>
  </si>
  <si>
    <t>982</t>
  </si>
  <si>
    <t>123.62</t>
  </si>
  <si>
    <t>62.78</t>
  </si>
  <si>
    <t>589.91</t>
  </si>
  <si>
    <t>367.53</t>
  </si>
  <si>
    <t>34.86</t>
  </si>
  <si>
    <t>49.51</t>
  </si>
  <si>
    <t>114.98</t>
  </si>
  <si>
    <t>61.03</t>
  </si>
  <si>
    <t>21.96</t>
  </si>
  <si>
    <t>58.71</t>
  </si>
  <si>
    <t>550.10</t>
  </si>
  <si>
    <t>30.54</t>
  </si>
  <si>
    <t>255.71</t>
  </si>
  <si>
    <t>111.82</t>
  </si>
  <si>
    <t>62.46</t>
  </si>
  <si>
    <t>32.99</t>
  </si>
  <si>
    <t>-30.65</t>
  </si>
  <si>
    <t>104.43</t>
  </si>
  <si>
    <t>8.07</t>
  </si>
  <si>
    <t>201.27</t>
  </si>
  <si>
    <t>103.75</t>
  </si>
  <si>
    <t>1.90</t>
  </si>
  <si>
    <t>3.04</t>
  </si>
  <si>
    <t>11.51</t>
  </si>
  <si>
    <t>2,604</t>
  </si>
  <si>
    <t>1,016</t>
  </si>
  <si>
    <t>133.82</t>
  </si>
  <si>
    <t>64.70</t>
  </si>
  <si>
    <t>635.51</t>
  </si>
  <si>
    <t>358.80</t>
  </si>
  <si>
    <t>37.29</t>
  </si>
  <si>
    <t>53.74</t>
  </si>
  <si>
    <t>15.18</t>
  </si>
  <si>
    <t>135.97</t>
  </si>
  <si>
    <t>70.36</t>
  </si>
  <si>
    <t>26.32</t>
  </si>
  <si>
    <t>88.07</t>
  </si>
  <si>
    <t>588.61</t>
  </si>
  <si>
    <t>37.61</t>
  </si>
  <si>
    <t>276.69</t>
  </si>
  <si>
    <t>82.12</t>
  </si>
  <si>
    <t>37.37</t>
  </si>
  <si>
    <t>12.94</t>
  </si>
  <si>
    <t>-24.39</t>
  </si>
  <si>
    <t>92.93</t>
  </si>
  <si>
    <t>202.64</t>
  </si>
  <si>
    <t>7.73</t>
  </si>
  <si>
    <t>5.25</t>
  </si>
  <si>
    <t>13.52</t>
  </si>
  <si>
    <t>2,976</t>
  </si>
  <si>
    <t>1,030</t>
  </si>
  <si>
    <t>126.89</t>
  </si>
  <si>
    <t>30.49</t>
  </si>
  <si>
    <t>10,499,556</t>
  </si>
  <si>
    <t>708.95</t>
  </si>
  <si>
    <t>420.60</t>
  </si>
  <si>
    <t>37.78</t>
  </si>
  <si>
    <t>59.56</t>
  </si>
  <si>
    <t>14.32</t>
  </si>
  <si>
    <t>146.25</t>
  </si>
  <si>
    <t>68.37</t>
  </si>
  <si>
    <t>30.23</t>
  </si>
  <si>
    <t>100.52</t>
  </si>
  <si>
    <t>664.75</t>
  </si>
  <si>
    <t>37.71</t>
  </si>
  <si>
    <t>295.64</t>
  </si>
  <si>
    <t>124.96</t>
  </si>
  <si>
    <t>82.71</t>
  </si>
  <si>
    <t>19.74</t>
  </si>
  <si>
    <t>-16.35</t>
  </si>
  <si>
    <t>145.86</t>
  </si>
  <si>
    <t>264.78</t>
  </si>
  <si>
    <t>124.08</t>
  </si>
  <si>
    <t>11.56</t>
  </si>
  <si>
    <t>6.19</t>
  </si>
  <si>
    <t>13.38</t>
  </si>
  <si>
    <t>1,174</t>
  </si>
  <si>
    <t>1,006</t>
  </si>
  <si>
    <t>112.10</t>
  </si>
  <si>
    <t>820.48</t>
  </si>
  <si>
    <t>404.68</t>
  </si>
  <si>
    <t>54.01</t>
  </si>
  <si>
    <t>69.54</t>
  </si>
  <si>
    <t>14.07</t>
  </si>
  <si>
    <t>152.33</t>
  </si>
  <si>
    <t>68.86</t>
  </si>
  <si>
    <t>35.03</t>
  </si>
  <si>
    <t>124.06</t>
  </si>
  <si>
    <t>776.30</t>
  </si>
  <si>
    <t>36.35</t>
  </si>
  <si>
    <t>280.02</t>
  </si>
  <si>
    <t>124.66</t>
  </si>
  <si>
    <t>6.12</t>
  </si>
  <si>
    <t>-4.18</t>
  </si>
  <si>
    <t>120.40</t>
  </si>
  <si>
    <t>2.85</t>
  </si>
  <si>
    <t>256.36</t>
  </si>
  <si>
    <t>121.82</t>
  </si>
  <si>
    <t>15.73</t>
  </si>
  <si>
    <t>1.59</t>
  </si>
  <si>
    <t>27.38</t>
  </si>
  <si>
    <t>3,318</t>
  </si>
  <si>
    <t>101.51</t>
  </si>
  <si>
    <t>VINAMILK</t>
  </si>
  <si>
    <t>VNM</t>
  </si>
  <si>
    <t>6.25</t>
  </si>
  <si>
    <t>57.75</t>
  </si>
  <si>
    <t>2,089,955,445</t>
  </si>
  <si>
    <t>59,722.91</t>
  </si>
  <si>
    <t>59,636.29</t>
  </si>
  <si>
    <t>48,432.48</t>
  </si>
  <si>
    <t>13,447.49</t>
  </si>
  <si>
    <t>1,958.16</t>
  </si>
  <si>
    <t>1,136.50</t>
  </si>
  <si>
    <t>15,748.25</t>
  </si>
  <si>
    <t>2,194.37</t>
  </si>
  <si>
    <t>11,235.73</t>
  </si>
  <si>
    <t>33,647.12</t>
  </si>
  <si>
    <t>229,443.00</t>
  </si>
  <si>
    <t>14,785.36</t>
  </si>
  <si>
    <t>11,098.00</t>
  </si>
  <si>
    <t>2,111.24</t>
  </si>
  <si>
    <t>572.71</t>
  </si>
  <si>
    <t>29,665.73</t>
  </si>
  <si>
    <t>14,212.65</t>
  </si>
  <si>
    <t>6.00</t>
  </si>
  <si>
    <t>4,905.07</t>
  </si>
  <si>
    <t>7,836.22</t>
  </si>
  <si>
    <t>4,770</t>
  </si>
  <si>
    <t>9,361</t>
  </si>
  <si>
    <t>12,717.31</t>
  </si>
  <si>
    <t>0.44</t>
  </si>
  <si>
    <t>9.61</t>
  </si>
  <si>
    <t>54.39</t>
  </si>
  <si>
    <t>61,012.07</t>
  </si>
  <si>
    <t>60,919.16</t>
  </si>
  <si>
    <t>53,332.40</t>
  </si>
  <si>
    <t>12,950.67</t>
  </si>
  <si>
    <t>1,567.31</t>
  </si>
  <si>
    <t>1,086.50</t>
  </si>
  <si>
    <t>15,132.00</t>
  </si>
  <si>
    <t>2,737.73</t>
  </si>
  <si>
    <t>10,632.54</t>
  </si>
  <si>
    <t>35,850.11</t>
  </si>
  <si>
    <t>188,932.00</t>
  </si>
  <si>
    <t>17,482.29</t>
  </si>
  <si>
    <t>9,431.97</t>
  </si>
  <si>
    <t>1,574.00</t>
  </si>
  <si>
    <t>2,348.55</t>
  </si>
  <si>
    <t>413.87</t>
  </si>
  <si>
    <t>36,109.91</t>
  </si>
  <si>
    <t>17,068.42</t>
  </si>
  <si>
    <t>2.16</t>
  </si>
  <si>
    <t>6,772.84</t>
  </si>
  <si>
    <t>7,523.56</t>
  </si>
  <si>
    <t>4,517</t>
  </si>
  <si>
    <t>12,416.00</t>
  </si>
  <si>
    <t>0.35</t>
  </si>
  <si>
    <t>19.60</t>
  </si>
  <si>
    <t>44.35</t>
  </si>
  <si>
    <t>60,074.73</t>
  </si>
  <si>
    <t>59,956.25</t>
  </si>
  <si>
    <t>48,482.66</t>
  </si>
  <si>
    <t>12,548.21</t>
  </si>
  <si>
    <t>1,595.85</t>
  </si>
  <si>
    <t>1,042.84</t>
  </si>
  <si>
    <t>12,757.00</t>
  </si>
  <si>
    <t>28,249.92</t>
  </si>
  <si>
    <t>3,251.37</t>
  </si>
  <si>
    <t>36,991.21</t>
  </si>
  <si>
    <t>8,577.58</t>
  </si>
  <si>
    <t>32,816.52</t>
  </si>
  <si>
    <t>159,046.00</t>
  </si>
  <si>
    <t>15,666.15</t>
  </si>
  <si>
    <t>8,827.27</t>
  </si>
  <si>
    <t>1,507.00</t>
  </si>
  <si>
    <t>2,299.94</t>
  </si>
  <si>
    <t>357.72</t>
  </si>
  <si>
    <t>31,560.38</t>
  </si>
  <si>
    <t>15,308.43</t>
  </si>
  <si>
    <t>-1.54</t>
  </si>
  <si>
    <t>5,537.56</t>
  </si>
  <si>
    <t>8,046.00</t>
  </si>
  <si>
    <t>3,632</t>
  </si>
  <si>
    <t>12,308.00</t>
  </si>
  <si>
    <t>17.90</t>
  </si>
  <si>
    <t>46.10</t>
  </si>
  <si>
    <t>60,479.00</t>
  </si>
  <si>
    <t>60,368.92</t>
  </si>
  <si>
    <t>52,673.37</t>
  </si>
  <si>
    <t>13,018.09</t>
  </si>
  <si>
    <t>1,755.62</t>
  </si>
  <si>
    <t>1,001.13</t>
  </si>
  <si>
    <t>6,128.30</t>
  </si>
  <si>
    <t>13,377.00</t>
  </si>
  <si>
    <t>27,814.58</t>
  </si>
  <si>
    <t>3,254.26</t>
  </si>
  <si>
    <t>36,802.43</t>
  </si>
  <si>
    <t>9,019.35</t>
  </si>
  <si>
    <t>35,025.74</t>
  </si>
  <si>
    <t>141,281.00</t>
  </si>
  <si>
    <t>17,647.63</t>
  </si>
  <si>
    <t>7,987.74</t>
  </si>
  <si>
    <t>1,579.64</t>
  </si>
  <si>
    <t>-1,883.00</t>
  </si>
  <si>
    <t>2,912.03</t>
  </si>
  <si>
    <t>35,935.88</t>
  </si>
  <si>
    <t>0.67</t>
  </si>
  <si>
    <t>6,128.08</t>
  </si>
  <si>
    <t>6,060.00</t>
  </si>
  <si>
    <t>3,796</t>
  </si>
  <si>
    <t>9,877</t>
  </si>
  <si>
    <t>0.34</t>
  </si>
  <si>
    <t>12.46</t>
  </si>
  <si>
    <t>51.54</t>
  </si>
  <si>
    <t>61,824.00</t>
  </si>
  <si>
    <t>61,731.00</t>
  </si>
  <si>
    <t>55,049.00</t>
  </si>
  <si>
    <t>9,453.00</t>
  </si>
  <si>
    <t>132,503.00</t>
  </si>
  <si>
    <t>9,770.59</t>
  </si>
  <si>
    <t>1,741.50</t>
  </si>
  <si>
    <t>-3,774.00</t>
  </si>
  <si>
    <t>25,488.00</t>
  </si>
  <si>
    <t>2.20</t>
  </si>
  <si>
    <t>9,960</t>
  </si>
  <si>
    <t>Bưu chính Viettel</t>
  </si>
  <si>
    <t>VTP</t>
  </si>
  <si>
    <t>60.81</t>
  </si>
  <si>
    <t>88.97</t>
  </si>
  <si>
    <t>20.62</t>
  </si>
  <si>
    <t>83,047,926</t>
  </si>
  <si>
    <t>17,234.28</t>
  </si>
  <si>
    <t>4,387.84</t>
  </si>
  <si>
    <t>21.51</t>
  </si>
  <si>
    <t>247.97</t>
  </si>
  <si>
    <t>34.47</t>
  </si>
  <si>
    <t>3,063.92</t>
  </si>
  <si>
    <t>553.95</t>
  </si>
  <si>
    <t>233.78</t>
  </si>
  <si>
    <t>9,191.73</t>
  </si>
  <si>
    <t>2,355.48</t>
  </si>
  <si>
    <t>6,209.97</t>
  </si>
  <si>
    <t>383.31</t>
  </si>
  <si>
    <t>1,208.60</t>
  </si>
  <si>
    <t/>
  </si>
  <si>
    <t>3,179.24</t>
  </si>
  <si>
    <t>-68.93</t>
  </si>
  <si>
    <t>51.27</t>
  </si>
  <si>
    <t>-153.83</t>
  </si>
  <si>
    <t>316.97</t>
  </si>
  <si>
    <t>7.14</t>
  </si>
  <si>
    <t>3,937.46</t>
  </si>
  <si>
    <t>3,171.94</t>
  </si>
  <si>
    <t>120.64</t>
  </si>
  <si>
    <t>606.03</t>
  </si>
  <si>
    <t>88.08</t>
  </si>
  <si>
    <t>4,060</t>
  </si>
  <si>
    <t>15,685</t>
  </si>
  <si>
    <t>314.14</t>
  </si>
  <si>
    <t>0.39</t>
  </si>
  <si>
    <t>60.80</t>
  </si>
  <si>
    <t>85.87</t>
  </si>
  <si>
    <t>21.17</t>
  </si>
  <si>
    <t>103,558,492</t>
  </si>
  <si>
    <t>21,452.03</t>
  </si>
  <si>
    <t>5,434.27</t>
  </si>
  <si>
    <t>38.74</t>
  </si>
  <si>
    <t>242.30</t>
  </si>
  <si>
    <t>40.62</t>
  </si>
  <si>
    <t>3,770.59</t>
  </si>
  <si>
    <t>459.13</t>
  </si>
  <si>
    <t>241.75</t>
  </si>
  <si>
    <t>10,997.37</t>
  </si>
  <si>
    <t>3,041.83</t>
  </si>
  <si>
    <t>6,946.89</t>
  </si>
  <si>
    <t>295.89</t>
  </si>
  <si>
    <t>1,325.55</t>
  </si>
  <si>
    <t>4,108.72</t>
  </si>
  <si>
    <t>430.77</t>
  </si>
  <si>
    <t>120.61</t>
  </si>
  <si>
    <t>-358.97</t>
  </si>
  <si>
    <t>336.99</t>
  </si>
  <si>
    <t>4,955.40</t>
  </si>
  <si>
    <t>4,108.06</t>
  </si>
  <si>
    <t>383.97</t>
  </si>
  <si>
    <t>122.76</t>
  </si>
  <si>
    <t>2,462</t>
  </si>
  <si>
    <t>14,813</t>
  </si>
  <si>
    <t>279.23</t>
  </si>
  <si>
    <t>0.30</t>
  </si>
  <si>
    <t>60.82</t>
  </si>
  <si>
    <t>70.45</t>
  </si>
  <si>
    <t>15.20</t>
  </si>
  <si>
    <t>113,217,237</t>
  </si>
  <si>
    <t>21,628.81</t>
  </si>
  <si>
    <t>5,731.17</t>
  </si>
  <si>
    <t>39.06</t>
  </si>
  <si>
    <t>336.91</t>
  </si>
  <si>
    <t>36.52</t>
  </si>
  <si>
    <t>4,948.00</t>
  </si>
  <si>
    <t>407.37</t>
  </si>
  <si>
    <t>355.06</t>
  </si>
  <si>
    <t>10,227.40</t>
  </si>
  <si>
    <t>3,899.65</t>
  </si>
  <si>
    <t>8,823.87</t>
  </si>
  <si>
    <t>256.64</t>
  </si>
  <si>
    <t>1,389.82</t>
  </si>
  <si>
    <t>4,341.35</t>
  </si>
  <si>
    <t>90.60</t>
  </si>
  <si>
    <t>29.10</t>
  </si>
  <si>
    <t>55.18</t>
  </si>
  <si>
    <t>459.56</t>
  </si>
  <si>
    <t>5,156.88</t>
  </si>
  <si>
    <t>4,328.91</t>
  </si>
  <si>
    <t>341.50</t>
  </si>
  <si>
    <t>153.04</t>
  </si>
  <si>
    <t>1,956</t>
  </si>
  <si>
    <t>17,323</t>
  </si>
  <si>
    <t>231.44</t>
  </si>
  <si>
    <t>0.32</t>
  </si>
  <si>
    <t>60.84</t>
  </si>
  <si>
    <t>66.05</t>
  </si>
  <si>
    <t>10.84</t>
  </si>
  <si>
    <t>121,783,042</t>
  </si>
  <si>
    <t>19,587.52</t>
  </si>
  <si>
    <t>6,439.39</t>
  </si>
  <si>
    <t>51.49</t>
  </si>
  <si>
    <t>413.07</t>
  </si>
  <si>
    <t>35.90</t>
  </si>
  <si>
    <t>5,441.74</t>
  </si>
  <si>
    <t>565.79</t>
  </si>
  <si>
    <t>426.89</t>
  </si>
  <si>
    <t>7,976.19</t>
  </si>
  <si>
    <t>4,469.13</t>
  </si>
  <si>
    <t>9,745.77</t>
  </si>
  <si>
    <t>382.88</t>
  </si>
  <si>
    <t>1,584.22</t>
  </si>
  <si>
    <t>4,855.18</t>
  </si>
  <si>
    <t>177.82</t>
  </si>
  <si>
    <t>374.68</t>
  </si>
  <si>
    <t>-28.46</t>
  </si>
  <si>
    <t>894.91</t>
  </si>
  <si>
    <t>40.79</t>
  </si>
  <si>
    <t>5,500.06</t>
  </si>
  <si>
    <t>4,801.78</t>
  </si>
  <si>
    <t>-9.44</t>
  </si>
  <si>
    <t>397.84</t>
  </si>
  <si>
    <t>128.19</t>
  </si>
  <si>
    <t>1,892</t>
  </si>
  <si>
    <t>15,508</t>
  </si>
  <si>
    <t>337.66</t>
  </si>
  <si>
    <t>20,734.67</t>
  </si>
  <si>
    <t>6,363.56</t>
  </si>
  <si>
    <t>113.57</t>
  </si>
  <si>
    <t>440.30</t>
  </si>
  <si>
    <t>53.66</t>
  </si>
  <si>
    <t>6,996.04</t>
  </si>
  <si>
    <t>616.37</t>
  </si>
  <si>
    <t>687.72</t>
  </si>
  <si>
    <t>6,518.21</t>
  </si>
  <si>
    <t>6,166.76</t>
  </si>
  <si>
    <t>12,389.61</t>
  </si>
  <si>
    <t>383.09</t>
  </si>
  <si>
    <t>1,588.46</t>
  </si>
  <si>
    <t>4,775.10</t>
  </si>
  <si>
    <t>-131.09</t>
  </si>
  <si>
    <t>373.68</t>
  </si>
  <si>
    <t>68.24</t>
  </si>
  <si>
    <t>389.55</t>
  </si>
  <si>
    <t>72.50</t>
  </si>
  <si>
    <t>4,728.46</t>
  </si>
  <si>
    <t>4,676.14</t>
  </si>
  <si>
    <t>5.86</t>
  </si>
  <si>
    <t>279.32</t>
  </si>
  <si>
    <t>179.95</t>
  </si>
  <si>
    <t>2,370</t>
  </si>
  <si>
    <t>17,588</t>
  </si>
  <si>
    <t>691.26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</si>
</sst>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n">
        <color rgb="FFA8D08D"/>
      </top>
      <bottom style="thin">
        <color rgb="FFA8D08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2" xfId="0" applyFont="1" applyFill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3" borderId="1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/>
    <xf numFmtId="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4" fontId="3" fillId="0" borderId="0" xfId="0" applyNumberFormat="1" applyFont="1"/>
    <xf numFmtId="0" fontId="3" fillId="0" borderId="0" xfId="0" quotePrefix="1" applyFont="1" applyAlignment="1">
      <alignment horizontal="right" vertical="center"/>
    </xf>
    <xf numFmtId="164" fontId="3" fillId="0" borderId="0" xfId="0" quotePrefix="1" applyNumberFormat="1" applyFont="1" applyAlignment="1">
      <alignment horizontal="right" vertical="center"/>
    </xf>
    <xf numFmtId="0" fontId="3" fillId="0" borderId="0" xfId="0" quotePrefix="1" applyFont="1" applyAlignment="1">
      <alignment horizontal="right"/>
    </xf>
    <xf numFmtId="0" fontId="3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abSelected="1"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Q17" sqref="Q17:Q21"/>
    </sheetView>
  </sheetViews>
  <sheetFormatPr defaultColWidth="14.44140625" defaultRowHeight="15" customHeight="1" x14ac:dyDescent="0.3"/>
  <cols>
    <col min="1" max="1" width="4" customWidth="1"/>
    <col min="2" max="2" width="17.33203125" customWidth="1"/>
    <col min="3" max="3" width="9.6640625" customWidth="1"/>
    <col min="4" max="4" width="7.6640625" customWidth="1"/>
    <col min="5" max="5" width="25.33203125" customWidth="1"/>
    <col min="6" max="6" width="9" customWidth="1"/>
    <col min="7" max="7" width="26" customWidth="1"/>
    <col min="8" max="8" width="14.6640625" customWidth="1"/>
    <col min="9" max="9" width="20.5546875" customWidth="1"/>
    <col min="10" max="10" width="16.5546875" customWidth="1"/>
    <col min="11" max="11" width="21" customWidth="1"/>
    <col min="12" max="12" width="17.33203125" customWidth="1"/>
    <col min="13" max="13" width="15.88671875" customWidth="1"/>
    <col min="14" max="14" width="12.109375" customWidth="1"/>
    <col min="15" max="15" width="14.6640625" customWidth="1"/>
    <col min="16" max="16" width="35.33203125" customWidth="1"/>
    <col min="17" max="17" width="22.5546875" customWidth="1"/>
    <col min="18" max="18" width="34.6640625" customWidth="1"/>
    <col min="19" max="19" width="19.44140625" customWidth="1"/>
    <col min="20" max="20" width="25.88671875" customWidth="1"/>
    <col min="21" max="21" width="30.109375" customWidth="1"/>
    <col min="22" max="22" width="29" customWidth="1"/>
    <col min="23" max="23" width="29.6640625" customWidth="1"/>
    <col min="24" max="24" width="14.6640625" customWidth="1"/>
    <col min="25" max="25" width="25.88671875" customWidth="1"/>
    <col min="26" max="26" width="17.44140625" customWidth="1"/>
    <col min="27" max="27" width="17" customWidth="1"/>
    <col min="28" max="28" width="10.6640625" customWidth="1"/>
    <col min="29" max="29" width="23" customWidth="1"/>
    <col min="30" max="30" width="20.33203125" customWidth="1"/>
    <col min="31" max="31" width="12.88671875" customWidth="1"/>
    <col min="32" max="32" width="29.6640625" customWidth="1"/>
    <col min="33" max="33" width="17.5546875" customWidth="1"/>
    <col min="34" max="34" width="30.6640625" customWidth="1"/>
    <col min="35" max="35" width="22.5546875" customWidth="1"/>
    <col min="36" max="36" width="14.33203125" customWidth="1"/>
    <col min="37" max="37" width="12.6640625" customWidth="1"/>
    <col min="38" max="38" width="15.6640625" customWidth="1"/>
    <col min="39" max="39" width="11.5546875" customWidth="1"/>
    <col min="40" max="40" width="13.88671875" customWidth="1"/>
    <col min="41" max="41" width="16.109375" customWidth="1"/>
    <col min="42" max="42" width="9.6640625" customWidth="1"/>
    <col min="43" max="43" width="20.44140625" customWidth="1"/>
    <col min="44" max="44" width="31.6640625" customWidth="1"/>
    <col min="45" max="46" width="8.5546875" customWidth="1"/>
  </cols>
  <sheetData>
    <row r="1" spans="1:4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1" t="s">
        <v>40</v>
      </c>
      <c r="AP1" s="3" t="s">
        <v>41</v>
      </c>
      <c r="AQ1" s="1" t="s">
        <v>42</v>
      </c>
      <c r="AR1" s="3" t="s">
        <v>43</v>
      </c>
      <c r="AS1" s="1" t="s">
        <v>44</v>
      </c>
      <c r="AT1" s="1"/>
    </row>
    <row r="2" spans="1:46" ht="14.25" customHeight="1" x14ac:dyDescent="0.3">
      <c r="A2" s="4">
        <v>1</v>
      </c>
      <c r="B2" s="4" t="s">
        <v>45</v>
      </c>
      <c r="C2" s="4" t="s">
        <v>46</v>
      </c>
      <c r="D2" s="4">
        <v>2020</v>
      </c>
      <c r="E2" s="4" t="s">
        <v>47</v>
      </c>
      <c r="F2" s="4" t="s">
        <v>48</v>
      </c>
      <c r="G2" s="5" t="s">
        <v>49</v>
      </c>
      <c r="H2" s="6">
        <v>0</v>
      </c>
      <c r="I2" s="6">
        <f>82.29/100</f>
        <v>0.82290000000000008</v>
      </c>
      <c r="J2" s="7" t="s">
        <v>50</v>
      </c>
      <c r="K2" s="8">
        <v>818609380000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7" t="s">
        <v>57</v>
      </c>
      <c r="S2" s="5" t="s">
        <v>58</v>
      </c>
      <c r="T2" s="9">
        <v>2830.2367041279999</v>
      </c>
      <c r="U2" s="5" t="s">
        <v>59</v>
      </c>
      <c r="V2" s="5" t="s">
        <v>60</v>
      </c>
      <c r="W2" s="5" t="s">
        <v>61</v>
      </c>
      <c r="X2" s="9">
        <v>3989.2129293879998</v>
      </c>
      <c r="Y2" s="7">
        <v>0</v>
      </c>
      <c r="Z2" s="5" t="s">
        <v>62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5" t="s">
        <v>67</v>
      </c>
      <c r="AG2" s="5" t="s">
        <v>68</v>
      </c>
      <c r="AH2" s="7">
        <v>-557.92999999999995</v>
      </c>
      <c r="AI2" s="5" t="s">
        <v>69</v>
      </c>
      <c r="AJ2" s="7" t="s">
        <v>70</v>
      </c>
      <c r="AK2" s="5" t="s">
        <v>71</v>
      </c>
      <c r="AL2" s="5" t="s">
        <v>72</v>
      </c>
      <c r="AM2" s="5" t="s">
        <v>73</v>
      </c>
      <c r="AN2" s="5" t="s">
        <v>74</v>
      </c>
      <c r="AO2" s="5" t="s">
        <v>75</v>
      </c>
      <c r="AP2" s="9">
        <v>12103</v>
      </c>
      <c r="AQ2" s="5" t="s">
        <v>76</v>
      </c>
      <c r="AR2" s="5" t="s">
        <v>77</v>
      </c>
      <c r="AS2" s="5" t="s">
        <v>78</v>
      </c>
      <c r="AT2" s="7"/>
    </row>
    <row r="3" spans="1:46" ht="14.25" customHeight="1" x14ac:dyDescent="0.3">
      <c r="A3" s="4">
        <v>1</v>
      </c>
      <c r="B3" s="4" t="s">
        <v>45</v>
      </c>
      <c r="C3" s="4" t="s">
        <v>46</v>
      </c>
      <c r="D3" s="4">
        <v>2021</v>
      </c>
      <c r="E3" s="4" t="s">
        <v>47</v>
      </c>
      <c r="F3" s="4" t="s">
        <v>48</v>
      </c>
      <c r="G3" s="6">
        <f>(0.756+0.017)/100</f>
        <v>7.7299999999999999E-3</v>
      </c>
      <c r="H3" s="6">
        <v>0</v>
      </c>
      <c r="I3" s="6">
        <f>84.47/100</f>
        <v>0.84470000000000001</v>
      </c>
      <c r="J3" s="6">
        <f>(1.398+83.192)/100</f>
        <v>0.84589999999999987</v>
      </c>
      <c r="K3" s="8">
        <v>818609380000</v>
      </c>
      <c r="L3" s="5" t="s">
        <v>79</v>
      </c>
      <c r="M3" s="5" t="s">
        <v>80</v>
      </c>
      <c r="N3" s="5" t="s">
        <v>81</v>
      </c>
      <c r="O3" s="5" t="s">
        <v>82</v>
      </c>
      <c r="P3" s="5" t="s">
        <v>83</v>
      </c>
      <c r="Q3" s="5" t="s">
        <v>84</v>
      </c>
      <c r="R3" s="9">
        <f>(190936035205+171244313980+203894870614)/1000000000</f>
        <v>566.07521979900002</v>
      </c>
      <c r="S3" s="9">
        <f>271811309411/1000000000</f>
        <v>271.81130941100002</v>
      </c>
      <c r="T3" s="9">
        <f>3393562807592/1000000000</f>
        <v>3393.5628075919999</v>
      </c>
      <c r="U3" s="5" t="s">
        <v>85</v>
      </c>
      <c r="V3" s="5" t="s">
        <v>86</v>
      </c>
      <c r="W3" s="5" t="s">
        <v>87</v>
      </c>
      <c r="X3" s="9">
        <f>SUM(3393562807592,348104637321,190936035205,171244313980,203894870614)/1000000000</f>
        <v>4307.7426647120001</v>
      </c>
      <c r="Y3" s="7">
        <v>0</v>
      </c>
      <c r="Z3" s="5" t="s">
        <v>62</v>
      </c>
      <c r="AA3" s="5" t="s">
        <v>62</v>
      </c>
      <c r="AB3" s="5" t="s">
        <v>88</v>
      </c>
      <c r="AC3" s="5" t="s">
        <v>89</v>
      </c>
      <c r="AD3" s="5" t="s">
        <v>90</v>
      </c>
      <c r="AE3" s="5" t="s">
        <v>91</v>
      </c>
      <c r="AF3" s="7">
        <v>-30.69</v>
      </c>
      <c r="AG3" s="5" t="s">
        <v>92</v>
      </c>
      <c r="AH3" s="5" t="s">
        <v>93</v>
      </c>
      <c r="AI3" s="5" t="s">
        <v>94</v>
      </c>
      <c r="AJ3" s="7">
        <v>21.85</v>
      </c>
      <c r="AK3" s="5" t="s">
        <v>95</v>
      </c>
      <c r="AL3" s="5" t="s">
        <v>96</v>
      </c>
      <c r="AM3" s="5" t="s">
        <v>97</v>
      </c>
      <c r="AN3" s="5" t="s">
        <v>98</v>
      </c>
      <c r="AO3" s="5" t="s">
        <v>99</v>
      </c>
      <c r="AP3" s="9">
        <v>12717</v>
      </c>
      <c r="AQ3" s="5" t="s">
        <v>100</v>
      </c>
      <c r="AR3" s="5" t="s">
        <v>101</v>
      </c>
      <c r="AS3" s="5" t="s">
        <v>102</v>
      </c>
      <c r="AT3" s="7"/>
    </row>
    <row r="4" spans="1:46" ht="14.25" customHeight="1" x14ac:dyDescent="0.3">
      <c r="A4" s="4">
        <v>1</v>
      </c>
      <c r="B4" s="4" t="s">
        <v>45</v>
      </c>
      <c r="C4" s="4" t="s">
        <v>46</v>
      </c>
      <c r="D4" s="4">
        <v>2022</v>
      </c>
      <c r="E4" s="4" t="s">
        <v>47</v>
      </c>
      <c r="F4" s="4" t="s">
        <v>48</v>
      </c>
      <c r="G4" s="6">
        <v>7.5599999999999999E-3</v>
      </c>
      <c r="H4" s="6">
        <v>0</v>
      </c>
      <c r="I4" s="9">
        <f>87.18/100</f>
        <v>0.87180000000000002</v>
      </c>
      <c r="J4" s="7">
        <v>0.85</v>
      </c>
      <c r="K4" s="8">
        <v>818609380000</v>
      </c>
      <c r="L4" s="5" t="s">
        <v>103</v>
      </c>
      <c r="M4" s="5" t="s">
        <v>104</v>
      </c>
      <c r="N4" s="5" t="s">
        <v>105</v>
      </c>
      <c r="O4" s="5" t="s">
        <v>106</v>
      </c>
      <c r="P4" s="5" t="s">
        <v>107</v>
      </c>
      <c r="Q4" s="5" t="s">
        <v>108</v>
      </c>
      <c r="R4" s="5" t="s">
        <v>109</v>
      </c>
      <c r="S4" s="9">
        <f>868083018098/1000000000</f>
        <v>868.08301809800003</v>
      </c>
      <c r="T4" s="5" t="s">
        <v>110</v>
      </c>
      <c r="U4" s="9">
        <f>269718434977/1000000000</f>
        <v>269.71843497700002</v>
      </c>
      <c r="V4" s="9">
        <f>21632577536/1000000000</f>
        <v>21.632577535999999</v>
      </c>
      <c r="W4" s="5" t="s">
        <v>111</v>
      </c>
      <c r="X4" s="5" t="s">
        <v>112</v>
      </c>
      <c r="Y4" s="7">
        <v>0</v>
      </c>
      <c r="Z4" s="5" t="s">
        <v>62</v>
      </c>
      <c r="AA4" s="5" t="s">
        <v>62</v>
      </c>
      <c r="AB4" s="5" t="s">
        <v>113</v>
      </c>
      <c r="AC4" s="5" t="s">
        <v>114</v>
      </c>
      <c r="AD4" s="5" t="s">
        <v>115</v>
      </c>
      <c r="AE4" s="5" t="s">
        <v>116</v>
      </c>
      <c r="AF4" s="5" t="s">
        <v>117</v>
      </c>
      <c r="AG4" s="5" t="s">
        <v>118</v>
      </c>
      <c r="AH4" s="6">
        <v>-144.80000000000001</v>
      </c>
      <c r="AI4" s="5" t="s">
        <v>119</v>
      </c>
      <c r="AJ4" s="7" t="s">
        <v>120</v>
      </c>
      <c r="AK4" s="5" t="s">
        <v>121</v>
      </c>
      <c r="AL4" s="5" t="s">
        <v>122</v>
      </c>
      <c r="AM4" s="5" t="s">
        <v>123</v>
      </c>
      <c r="AN4" s="5" t="s">
        <v>124</v>
      </c>
      <c r="AO4" s="5" t="s">
        <v>125</v>
      </c>
      <c r="AP4" s="9">
        <v>8481</v>
      </c>
      <c r="AQ4" s="5" t="s">
        <v>126</v>
      </c>
      <c r="AR4" s="5" t="s">
        <v>127</v>
      </c>
      <c r="AS4" s="5" t="s">
        <v>128</v>
      </c>
      <c r="AT4" s="7"/>
    </row>
    <row r="5" spans="1:46" ht="14.25" customHeight="1" x14ac:dyDescent="0.3">
      <c r="A5" s="4">
        <v>1</v>
      </c>
      <c r="B5" s="4" t="s">
        <v>45</v>
      </c>
      <c r="C5" s="4" t="s">
        <v>46</v>
      </c>
      <c r="D5" s="4">
        <v>2023</v>
      </c>
      <c r="E5" s="4" t="s">
        <v>47</v>
      </c>
      <c r="F5" s="4" t="s">
        <v>48</v>
      </c>
      <c r="G5" s="6">
        <v>7.6E-3</v>
      </c>
      <c r="H5" s="6">
        <v>0</v>
      </c>
      <c r="I5" s="7">
        <v>0.87</v>
      </c>
      <c r="J5" s="7">
        <v>0.85</v>
      </c>
      <c r="K5" s="8">
        <v>818609380000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9">
        <f>262481364491/1000000000</f>
        <v>262.48136449100002</v>
      </c>
      <c r="V5" s="9">
        <f>29218043850/1000000000</f>
        <v>29.218043850000001</v>
      </c>
      <c r="W5" s="5" t="s">
        <v>138</v>
      </c>
      <c r="X5" s="5" t="s">
        <v>139</v>
      </c>
      <c r="Y5" s="7">
        <v>0</v>
      </c>
      <c r="Z5" s="5" t="s">
        <v>62</v>
      </c>
      <c r="AA5" s="5" t="s">
        <v>62</v>
      </c>
      <c r="AB5" s="5" t="s">
        <v>140</v>
      </c>
      <c r="AC5" s="5" t="s">
        <v>141</v>
      </c>
      <c r="AD5" s="9">
        <v>8538.1</v>
      </c>
      <c r="AE5" s="5" t="s">
        <v>142</v>
      </c>
      <c r="AF5" s="5" t="s">
        <v>143</v>
      </c>
      <c r="AG5" s="5" t="s">
        <v>144</v>
      </c>
      <c r="AH5" s="7">
        <v>-174.06</v>
      </c>
      <c r="AI5" s="5" t="s">
        <v>145</v>
      </c>
      <c r="AJ5" s="7">
        <v>19.12</v>
      </c>
      <c r="AK5" s="5" t="s">
        <v>146</v>
      </c>
      <c r="AL5" s="5" t="s">
        <v>147</v>
      </c>
      <c r="AM5" s="5" t="s">
        <v>148</v>
      </c>
      <c r="AN5" s="5" t="s">
        <v>149</v>
      </c>
      <c r="AO5" s="5" t="s">
        <v>150</v>
      </c>
      <c r="AP5" s="9">
        <v>2619</v>
      </c>
      <c r="AQ5" s="5" t="s">
        <v>151</v>
      </c>
      <c r="AR5" s="5" t="s">
        <v>152</v>
      </c>
      <c r="AS5" s="5" t="s">
        <v>153</v>
      </c>
      <c r="AT5" s="7"/>
    </row>
    <row r="6" spans="1:46" ht="14.25" customHeight="1" x14ac:dyDescent="0.3">
      <c r="A6" s="4">
        <v>1</v>
      </c>
      <c r="B6" s="4" t="s">
        <v>45</v>
      </c>
      <c r="C6" s="4" t="s">
        <v>46</v>
      </c>
      <c r="D6" s="4">
        <v>2024</v>
      </c>
      <c r="E6" s="4" t="s">
        <v>47</v>
      </c>
      <c r="F6" s="4" t="s">
        <v>48</v>
      </c>
      <c r="G6" s="6">
        <v>7.7000000000000002E-3</v>
      </c>
      <c r="H6" s="6">
        <v>0</v>
      </c>
      <c r="I6" s="7">
        <v>0.88</v>
      </c>
      <c r="J6" s="7">
        <v>0.84</v>
      </c>
      <c r="K6" s="8">
        <v>818609380000</v>
      </c>
      <c r="L6" s="5" t="s">
        <v>154</v>
      </c>
      <c r="M6" s="5" t="s">
        <v>155</v>
      </c>
      <c r="N6" s="5" t="s">
        <v>156</v>
      </c>
      <c r="O6" s="5" t="s">
        <v>157</v>
      </c>
      <c r="P6" s="5" t="s">
        <v>158</v>
      </c>
      <c r="Q6" s="5" t="s">
        <v>159</v>
      </c>
      <c r="R6" s="5" t="s">
        <v>160</v>
      </c>
      <c r="S6" s="5" t="s">
        <v>161</v>
      </c>
      <c r="T6" s="5" t="s">
        <v>162</v>
      </c>
      <c r="U6" s="9">
        <f>146483371668/1000000000</f>
        <v>146.48337166799999</v>
      </c>
      <c r="V6" s="9">
        <f>24267937819/1000000000</f>
        <v>24.267937819</v>
      </c>
      <c r="W6" s="5" t="s">
        <v>163</v>
      </c>
      <c r="X6" s="5" t="s">
        <v>164</v>
      </c>
      <c r="Y6" s="7">
        <v>0</v>
      </c>
      <c r="Z6" s="5" t="s">
        <v>62</v>
      </c>
      <c r="AA6" s="5" t="s">
        <v>62</v>
      </c>
      <c r="AB6" s="5" t="s">
        <v>165</v>
      </c>
      <c r="AC6" s="5" t="s">
        <v>166</v>
      </c>
      <c r="AD6" s="9">
        <v>10731.97</v>
      </c>
      <c r="AE6" s="5" t="s">
        <v>167</v>
      </c>
      <c r="AF6" s="5" t="s">
        <v>168</v>
      </c>
      <c r="AG6" s="5" t="s">
        <v>169</v>
      </c>
      <c r="AH6" s="7">
        <v>-248.32</v>
      </c>
      <c r="AI6" s="5" t="s">
        <v>170</v>
      </c>
      <c r="AJ6" s="7">
        <v>17.79</v>
      </c>
      <c r="AK6" s="5" t="s">
        <v>171</v>
      </c>
      <c r="AL6" s="5" t="s">
        <v>172</v>
      </c>
      <c r="AM6" s="5" t="s">
        <v>173</v>
      </c>
      <c r="AN6" s="5" t="s">
        <v>174</v>
      </c>
      <c r="AO6" s="5" t="s">
        <v>175</v>
      </c>
      <c r="AP6" s="9">
        <v>6384</v>
      </c>
      <c r="AQ6" s="5" t="s">
        <v>176</v>
      </c>
      <c r="AR6" s="5" t="s">
        <v>177</v>
      </c>
      <c r="AS6" s="5" t="s">
        <v>178</v>
      </c>
      <c r="AT6" s="7"/>
    </row>
    <row r="7" spans="1:46" ht="14.25" customHeight="1" x14ac:dyDescent="0.3">
      <c r="A7" s="10">
        <v>2</v>
      </c>
      <c r="B7" s="10" t="s">
        <v>179</v>
      </c>
      <c r="C7" s="10" t="s">
        <v>180</v>
      </c>
      <c r="D7" s="10">
        <v>2020</v>
      </c>
      <c r="E7" s="10" t="s">
        <v>47</v>
      </c>
      <c r="F7" s="10" t="s">
        <v>181</v>
      </c>
      <c r="G7" s="11">
        <v>0</v>
      </c>
      <c r="H7" s="11">
        <v>79.52</v>
      </c>
      <c r="I7" s="11">
        <v>94.24</v>
      </c>
      <c r="J7" s="11">
        <v>0.13</v>
      </c>
      <c r="K7" s="12">
        <v>123559858</v>
      </c>
      <c r="L7" s="11">
        <v>3063.55</v>
      </c>
      <c r="M7" s="11">
        <v>3063.55</v>
      </c>
      <c r="N7" s="11">
        <v>3262</v>
      </c>
      <c r="O7" s="11">
        <v>122.63</v>
      </c>
      <c r="P7" s="11">
        <v>112.56</v>
      </c>
      <c r="Q7" s="11">
        <v>0.49</v>
      </c>
      <c r="R7" s="11">
        <v>728.73</v>
      </c>
      <c r="S7" s="11">
        <v>11.44</v>
      </c>
      <c r="T7" s="11">
        <v>1978.57</v>
      </c>
      <c r="U7" s="11">
        <v>0</v>
      </c>
      <c r="V7" s="11">
        <v>72.819999999999993</v>
      </c>
      <c r="W7" s="11">
        <v>255.14</v>
      </c>
      <c r="X7" s="11">
        <v>2955.6</v>
      </c>
      <c r="Y7" s="12">
        <v>0</v>
      </c>
      <c r="Z7" s="12">
        <v>0</v>
      </c>
      <c r="AA7" s="12">
        <v>1</v>
      </c>
      <c r="AB7" s="11">
        <v>17.27</v>
      </c>
      <c r="AC7" s="11">
        <f>1397110959770/1000000000</f>
        <v>1397.1109597699999</v>
      </c>
      <c r="AD7" s="11">
        <f>(4700*123559858)/1000000000</f>
        <v>580.73133259999997</v>
      </c>
      <c r="AE7" s="11">
        <v>1864.89</v>
      </c>
      <c r="AF7" s="11">
        <v>206.22</v>
      </c>
      <c r="AG7" s="11">
        <v>80.27</v>
      </c>
      <c r="AH7" s="11">
        <v>-126.64</v>
      </c>
      <c r="AI7" s="11">
        <v>113.5</v>
      </c>
      <c r="AJ7" s="11">
        <v>28.33</v>
      </c>
      <c r="AK7" s="11">
        <v>588.02</v>
      </c>
      <c r="AL7" s="11">
        <v>1836.56</v>
      </c>
      <c r="AM7" s="11">
        <v>-5.8</v>
      </c>
      <c r="AN7" s="11">
        <v>376.89</v>
      </c>
      <c r="AO7" s="11">
        <v>0</v>
      </c>
      <c r="AP7" s="11">
        <v>140</v>
      </c>
      <c r="AQ7" s="12">
        <v>1256</v>
      </c>
      <c r="AR7" s="11">
        <v>2490.1999999999998</v>
      </c>
      <c r="AS7" s="12">
        <v>23</v>
      </c>
      <c r="AT7" s="12"/>
    </row>
    <row r="8" spans="1:46" ht="14.25" customHeight="1" x14ac:dyDescent="0.3">
      <c r="A8" s="10">
        <v>2</v>
      </c>
      <c r="B8" s="10" t="s">
        <v>179</v>
      </c>
      <c r="C8" s="10" t="s">
        <v>180</v>
      </c>
      <c r="D8" s="10">
        <v>2021</v>
      </c>
      <c r="E8" s="10" t="s">
        <v>47</v>
      </c>
      <c r="F8" s="10" t="s">
        <v>181</v>
      </c>
      <c r="G8" s="11">
        <v>0</v>
      </c>
      <c r="H8" s="11">
        <v>79.52</v>
      </c>
      <c r="I8" s="11">
        <v>94.74</v>
      </c>
      <c r="J8" s="11">
        <v>0.15</v>
      </c>
      <c r="K8" s="12">
        <v>123559858</v>
      </c>
      <c r="L8" s="11">
        <v>2979.82</v>
      </c>
      <c r="M8" s="11">
        <v>2979.82</v>
      </c>
      <c r="N8" s="11">
        <v>3057.82</v>
      </c>
      <c r="O8" s="11">
        <v>113.45</v>
      </c>
      <c r="P8" s="11">
        <v>107.62</v>
      </c>
      <c r="Q8" s="11">
        <v>0.66</v>
      </c>
      <c r="R8" s="11">
        <v>662.29</v>
      </c>
      <c r="S8" s="11">
        <v>46.51</v>
      </c>
      <c r="T8" s="11">
        <v>1890.96</v>
      </c>
      <c r="U8" s="11">
        <v>0</v>
      </c>
      <c r="V8" s="11">
        <v>38.83</v>
      </c>
      <c r="W8" s="11">
        <v>214.39</v>
      </c>
      <c r="X8" s="11">
        <v>2838.44</v>
      </c>
      <c r="Y8" s="12">
        <v>0</v>
      </c>
      <c r="Z8" s="12">
        <v>0</v>
      </c>
      <c r="AA8" s="12">
        <v>1</v>
      </c>
      <c r="AB8" s="11">
        <v>50.02</v>
      </c>
      <c r="AC8" s="11">
        <v>1438.28</v>
      </c>
      <c r="AD8" s="11">
        <f>11500*123559858/1000000000</f>
        <v>1420.938367</v>
      </c>
      <c r="AE8" s="11">
        <v>1619.54</v>
      </c>
      <c r="AF8" s="11">
        <v>278.54000000000002</v>
      </c>
      <c r="AG8" s="11">
        <v>56.99</v>
      </c>
      <c r="AH8" s="11">
        <v>-39.14</v>
      </c>
      <c r="AI8" s="11">
        <v>116.45</v>
      </c>
      <c r="AJ8" s="11">
        <v>23.69</v>
      </c>
      <c r="AK8" s="11">
        <v>576.28</v>
      </c>
      <c r="AL8" s="11">
        <v>1595.84</v>
      </c>
      <c r="AM8" s="11">
        <v>-2.73</v>
      </c>
      <c r="AN8" s="11">
        <v>382.33</v>
      </c>
      <c r="AO8" s="11">
        <v>49.42</v>
      </c>
      <c r="AP8" s="11">
        <v>405</v>
      </c>
      <c r="AQ8" s="12">
        <v>1228</v>
      </c>
      <c r="AR8" s="11">
        <v>2327.52</v>
      </c>
      <c r="AS8" s="12">
        <v>24</v>
      </c>
      <c r="AT8" s="12"/>
    </row>
    <row r="9" spans="1:46" ht="14.25" customHeight="1" x14ac:dyDescent="0.3">
      <c r="A9" s="10">
        <v>2</v>
      </c>
      <c r="B9" s="10" t="s">
        <v>179</v>
      </c>
      <c r="C9" s="10" t="s">
        <v>180</v>
      </c>
      <c r="D9" s="10">
        <v>2022</v>
      </c>
      <c r="E9" s="10" t="s">
        <v>47</v>
      </c>
      <c r="F9" s="10" t="s">
        <v>181</v>
      </c>
      <c r="G9" s="11">
        <v>0</v>
      </c>
      <c r="H9" s="11">
        <v>79.52</v>
      </c>
      <c r="I9" s="11">
        <v>94.67</v>
      </c>
      <c r="J9" s="11">
        <v>0.11</v>
      </c>
      <c r="K9" s="12">
        <v>123559858</v>
      </c>
      <c r="L9" s="11">
        <v>3231.37</v>
      </c>
      <c r="M9" s="11">
        <v>3125.07</v>
      </c>
      <c r="N9" s="11">
        <v>3324.55</v>
      </c>
      <c r="O9" s="11">
        <v>113.35</v>
      </c>
      <c r="P9" s="11">
        <v>113.1</v>
      </c>
      <c r="Q9" s="11">
        <v>1.86</v>
      </c>
      <c r="R9" s="11">
        <v>676.28</v>
      </c>
      <c r="S9" s="11">
        <v>33.65</v>
      </c>
      <c r="T9" s="11">
        <v>2237.1999999999998</v>
      </c>
      <c r="U9" s="11">
        <v>0</v>
      </c>
      <c r="V9" s="11">
        <v>200.75</v>
      </c>
      <c r="W9" s="11">
        <v>253.49</v>
      </c>
      <c r="X9" s="11">
        <v>3197.44</v>
      </c>
      <c r="Y9" s="12">
        <v>0</v>
      </c>
      <c r="Z9" s="12">
        <v>0</v>
      </c>
      <c r="AA9" s="12">
        <v>1</v>
      </c>
      <c r="AB9" s="11">
        <v>53.93</v>
      </c>
      <c r="AC9" s="11">
        <v>1421.86</v>
      </c>
      <c r="AD9" s="11">
        <f>6600*123559858/1000000000</f>
        <v>815.49506280000003</v>
      </c>
      <c r="AE9" s="11">
        <v>1902.69</v>
      </c>
      <c r="AF9" s="11">
        <v>87.69</v>
      </c>
      <c r="AG9" s="11">
        <v>108.42</v>
      </c>
      <c r="AH9" s="11">
        <v>-127.92</v>
      </c>
      <c r="AI9" s="11">
        <v>138.55000000000001</v>
      </c>
      <c r="AJ9" s="11">
        <v>43.11</v>
      </c>
      <c r="AK9" s="11">
        <v>979.21</v>
      </c>
      <c r="AL9" s="11">
        <v>1859.59</v>
      </c>
      <c r="AM9" s="11">
        <v>4.87</v>
      </c>
      <c r="AN9" s="11">
        <v>627.96</v>
      </c>
      <c r="AO9" s="11">
        <v>37.07</v>
      </c>
      <c r="AP9" s="11">
        <v>436</v>
      </c>
      <c r="AQ9" s="12">
        <v>1214</v>
      </c>
      <c r="AR9" s="11">
        <v>2180.13</v>
      </c>
      <c r="AS9" s="12">
        <v>25</v>
      </c>
      <c r="AT9" s="12"/>
    </row>
    <row r="10" spans="1:46" ht="14.25" customHeight="1" x14ac:dyDescent="0.3">
      <c r="A10" s="10">
        <v>2</v>
      </c>
      <c r="B10" s="10" t="s">
        <v>179</v>
      </c>
      <c r="C10" s="10" t="s">
        <v>180</v>
      </c>
      <c r="D10" s="10">
        <v>2023</v>
      </c>
      <c r="E10" s="10" t="s">
        <v>47</v>
      </c>
      <c r="F10" s="10" t="s">
        <v>181</v>
      </c>
      <c r="G10" s="11">
        <v>0</v>
      </c>
      <c r="H10" s="11">
        <v>79.52</v>
      </c>
      <c r="I10" s="11">
        <v>94.55</v>
      </c>
      <c r="J10" s="11">
        <v>0.11</v>
      </c>
      <c r="K10" s="12">
        <v>123559858</v>
      </c>
      <c r="L10" s="11">
        <v>2725.16</v>
      </c>
      <c r="M10" s="11">
        <v>2573.3000000000002</v>
      </c>
      <c r="N10" s="11">
        <v>3498.58</v>
      </c>
      <c r="O10" s="11">
        <v>71.42</v>
      </c>
      <c r="P10" s="11">
        <v>100.1</v>
      </c>
      <c r="Q10" s="11">
        <v>4.8099999999999996</v>
      </c>
      <c r="R10" s="11">
        <v>553.20000000000005</v>
      </c>
      <c r="S10" s="11">
        <v>-141.94</v>
      </c>
      <c r="T10" s="11">
        <v>1893.86</v>
      </c>
      <c r="U10" s="11">
        <v>0</v>
      </c>
      <c r="V10" s="11">
        <v>266.8</v>
      </c>
      <c r="W10" s="11">
        <v>174.11</v>
      </c>
      <c r="X10" s="11">
        <v>2708.78</v>
      </c>
      <c r="Y10" s="12">
        <v>0</v>
      </c>
      <c r="Z10" s="12">
        <v>1</v>
      </c>
      <c r="AA10" s="12">
        <v>1</v>
      </c>
      <c r="AB10" s="11">
        <v>-96.25</v>
      </c>
      <c r="AC10" s="11">
        <v>1268.2</v>
      </c>
      <c r="AD10" s="11">
        <f>5500*123559858/1000000000</f>
        <v>679.57921899999997</v>
      </c>
      <c r="AE10" s="11">
        <v>2230.38</v>
      </c>
      <c r="AF10" s="11">
        <v>125.22</v>
      </c>
      <c r="AG10" s="11">
        <v>315.89999999999998</v>
      </c>
      <c r="AH10" s="11">
        <v>-265.32</v>
      </c>
      <c r="AI10" s="11">
        <v>134.94</v>
      </c>
      <c r="AJ10" s="11">
        <v>167.76</v>
      </c>
      <c r="AK10" s="11">
        <v>935</v>
      </c>
      <c r="AL10" s="11">
        <v>2062.62</v>
      </c>
      <c r="AM10" s="11">
        <v>-17.66</v>
      </c>
      <c r="AN10" s="11">
        <v>655.45</v>
      </c>
      <c r="AO10" s="11">
        <v>0</v>
      </c>
      <c r="AP10" s="11">
        <v>-779</v>
      </c>
      <c r="AQ10" s="12">
        <v>1191</v>
      </c>
      <c r="AR10" s="11">
        <v>2008.37</v>
      </c>
      <c r="AS10" s="12">
        <v>26</v>
      </c>
      <c r="AT10" s="12"/>
    </row>
    <row r="11" spans="1:46" ht="14.25" customHeight="1" x14ac:dyDescent="0.3">
      <c r="A11" s="10">
        <v>2</v>
      </c>
      <c r="B11" s="10" t="s">
        <v>179</v>
      </c>
      <c r="C11" s="10" t="s">
        <v>180</v>
      </c>
      <c r="D11" s="10">
        <v>2024</v>
      </c>
      <c r="E11" s="10" t="s">
        <v>47</v>
      </c>
      <c r="F11" s="10" t="s">
        <v>181</v>
      </c>
      <c r="G11" s="11">
        <v>0</v>
      </c>
      <c r="H11" s="11">
        <v>79.52</v>
      </c>
      <c r="I11" s="11">
        <v>94.44</v>
      </c>
      <c r="J11" s="11">
        <v>0.11</v>
      </c>
      <c r="K11" s="12">
        <v>123559858</v>
      </c>
      <c r="L11" s="11">
        <v>2749.3</v>
      </c>
      <c r="M11" s="11">
        <v>2609.61</v>
      </c>
      <c r="N11" s="11">
        <v>3094.24</v>
      </c>
      <c r="O11" s="11">
        <v>68.459999999999994</v>
      </c>
      <c r="P11" s="11">
        <v>90.78</v>
      </c>
      <c r="Q11" s="11">
        <v>3.75</v>
      </c>
      <c r="R11" s="11">
        <v>568.34</v>
      </c>
      <c r="S11" s="11">
        <v>-256.41000000000003</v>
      </c>
      <c r="T11" s="11">
        <v>1776.7</v>
      </c>
      <c r="U11" s="11">
        <v>0</v>
      </c>
      <c r="V11" s="11">
        <v>77.760000000000005</v>
      </c>
      <c r="W11" s="11">
        <v>163.47999999999999</v>
      </c>
      <c r="X11" s="11">
        <v>2587.31</v>
      </c>
      <c r="Y11" s="12">
        <v>0</v>
      </c>
      <c r="Z11" s="12">
        <v>1</v>
      </c>
      <c r="AA11" s="12">
        <v>1</v>
      </c>
      <c r="AB11" s="11">
        <v>-201.79</v>
      </c>
      <c r="AC11" s="11">
        <v>1066.4100000000001</v>
      </c>
      <c r="AD11" s="11">
        <f>4900*123559858/1000000000</f>
        <v>605.44330419999994</v>
      </c>
      <c r="AE11" s="11">
        <v>2027.83</v>
      </c>
      <c r="AF11" s="11">
        <v>145.72999999999999</v>
      </c>
      <c r="AG11" s="11">
        <v>171.49</v>
      </c>
      <c r="AH11" s="11">
        <v>-171.06</v>
      </c>
      <c r="AI11" s="11">
        <v>100.19</v>
      </c>
      <c r="AJ11" s="11">
        <v>176.4</v>
      </c>
      <c r="AK11" s="11">
        <v>689.91</v>
      </c>
      <c r="AL11" s="11">
        <v>1851.43</v>
      </c>
      <c r="AM11" s="11">
        <v>1.41</v>
      </c>
      <c r="AN11" s="11">
        <v>477.01</v>
      </c>
      <c r="AO11" s="11">
        <v>0</v>
      </c>
      <c r="AP11" s="11">
        <v>-1633</v>
      </c>
      <c r="AQ11" s="12">
        <v>1165</v>
      </c>
      <c r="AR11" s="11">
        <v>2013.18</v>
      </c>
      <c r="AS11" s="12">
        <v>27</v>
      </c>
      <c r="AT11" s="12"/>
    </row>
    <row r="12" spans="1:46" ht="14.25" customHeight="1" x14ac:dyDescent="0.3">
      <c r="A12" s="4">
        <v>3</v>
      </c>
      <c r="B12" s="4" t="s">
        <v>182</v>
      </c>
      <c r="C12" s="4" t="s">
        <v>183</v>
      </c>
      <c r="D12" s="4">
        <v>2020</v>
      </c>
      <c r="E12" s="4" t="s">
        <v>184</v>
      </c>
      <c r="F12" s="4" t="s">
        <v>181</v>
      </c>
      <c r="G12" s="5" t="s">
        <v>185</v>
      </c>
      <c r="H12" s="5" t="s">
        <v>186</v>
      </c>
      <c r="I12" s="5" t="s">
        <v>187</v>
      </c>
      <c r="J12" s="5" t="s">
        <v>188</v>
      </c>
      <c r="K12" s="8">
        <v>5000000</v>
      </c>
      <c r="L12" s="5" t="s">
        <v>189</v>
      </c>
      <c r="M12" s="5" t="s">
        <v>190</v>
      </c>
      <c r="N12" s="5" t="s">
        <v>191</v>
      </c>
      <c r="O12" s="5" t="s">
        <v>192</v>
      </c>
      <c r="P12" s="5" t="s">
        <v>193</v>
      </c>
      <c r="Q12" s="5" t="s">
        <v>194</v>
      </c>
      <c r="R12" s="5" t="s">
        <v>195</v>
      </c>
      <c r="S12" s="5" t="s">
        <v>196</v>
      </c>
      <c r="T12" s="5" t="s">
        <v>197</v>
      </c>
      <c r="U12" s="5" t="s">
        <v>198</v>
      </c>
      <c r="V12" s="5" t="s">
        <v>199</v>
      </c>
      <c r="W12" s="5" t="s">
        <v>200</v>
      </c>
      <c r="X12" s="5" t="s">
        <v>201</v>
      </c>
      <c r="Y12" s="7">
        <v>0</v>
      </c>
      <c r="Z12" s="5" t="s">
        <v>62</v>
      </c>
      <c r="AA12" s="5" t="s">
        <v>62</v>
      </c>
      <c r="AB12" s="5" t="s">
        <v>202</v>
      </c>
      <c r="AC12" s="5" t="s">
        <v>203</v>
      </c>
      <c r="AD12" s="6">
        <f>25000*5000000/1000000000</f>
        <v>125</v>
      </c>
      <c r="AE12" s="5" t="s">
        <v>204</v>
      </c>
      <c r="AF12" s="7">
        <v>-7.02</v>
      </c>
      <c r="AG12" s="7">
        <v>-17.28</v>
      </c>
      <c r="AH12" s="5" t="s">
        <v>205</v>
      </c>
      <c r="AI12" s="5" t="s">
        <v>206</v>
      </c>
      <c r="AJ12" s="5" t="s">
        <v>207</v>
      </c>
      <c r="AK12" s="5" t="s">
        <v>208</v>
      </c>
      <c r="AL12" s="5" t="s">
        <v>209</v>
      </c>
      <c r="AM12" s="5" t="s">
        <v>210</v>
      </c>
      <c r="AN12" s="5" t="s">
        <v>211</v>
      </c>
      <c r="AO12" s="6">
        <v>-5</v>
      </c>
      <c r="AP12" s="5" t="s">
        <v>212</v>
      </c>
      <c r="AQ12" s="5" t="s">
        <v>213</v>
      </c>
      <c r="AR12" s="5" t="s">
        <v>214</v>
      </c>
      <c r="AS12" s="5" t="s">
        <v>215</v>
      </c>
      <c r="AT12" s="7"/>
    </row>
    <row r="13" spans="1:46" ht="14.25" customHeight="1" x14ac:dyDescent="0.3">
      <c r="A13" s="4">
        <v>3</v>
      </c>
      <c r="B13" s="4" t="s">
        <v>182</v>
      </c>
      <c r="C13" s="4" t="s">
        <v>183</v>
      </c>
      <c r="D13" s="4">
        <v>2021</v>
      </c>
      <c r="E13" s="4" t="s">
        <v>184</v>
      </c>
      <c r="F13" s="4" t="s">
        <v>181</v>
      </c>
      <c r="G13" s="5" t="s">
        <v>185</v>
      </c>
      <c r="H13" s="5" t="s">
        <v>186</v>
      </c>
      <c r="I13" s="7">
        <v>0.05</v>
      </c>
      <c r="J13" s="5" t="s">
        <v>188</v>
      </c>
      <c r="K13" s="8">
        <v>5000000</v>
      </c>
      <c r="L13" s="5" t="s">
        <v>216</v>
      </c>
      <c r="M13" s="5" t="s">
        <v>217</v>
      </c>
      <c r="N13" s="5" t="s">
        <v>218</v>
      </c>
      <c r="O13" s="5" t="s">
        <v>219</v>
      </c>
      <c r="P13" s="5" t="s">
        <v>220</v>
      </c>
      <c r="Q13" s="5" t="s">
        <v>221</v>
      </c>
      <c r="R13" s="5" t="s">
        <v>222</v>
      </c>
      <c r="S13" s="5" t="s">
        <v>223</v>
      </c>
      <c r="T13" s="5" t="s">
        <v>224</v>
      </c>
      <c r="U13" s="5" t="s">
        <v>225</v>
      </c>
      <c r="V13" s="5" t="s">
        <v>226</v>
      </c>
      <c r="W13" s="5" t="s">
        <v>227</v>
      </c>
      <c r="X13" s="5" t="s">
        <v>228</v>
      </c>
      <c r="Y13" s="7">
        <v>0</v>
      </c>
      <c r="Z13" s="5" t="s">
        <v>62</v>
      </c>
      <c r="AA13" s="5" t="s">
        <v>62</v>
      </c>
      <c r="AB13" s="5" t="s">
        <v>229</v>
      </c>
      <c r="AC13" s="5" t="s">
        <v>230</v>
      </c>
      <c r="AD13" s="6">
        <f>57000*K13/1000000000</f>
        <v>285</v>
      </c>
      <c r="AE13" s="5" t="s">
        <v>231</v>
      </c>
      <c r="AF13" s="7">
        <v>-25.42</v>
      </c>
      <c r="AG13" s="7">
        <v>-5.85</v>
      </c>
      <c r="AH13" s="5" t="s">
        <v>232</v>
      </c>
      <c r="AI13" s="5" t="s">
        <v>233</v>
      </c>
      <c r="AJ13" s="5" t="s">
        <v>234</v>
      </c>
      <c r="AK13" s="5" t="s">
        <v>235</v>
      </c>
      <c r="AL13" s="5" t="s">
        <v>236</v>
      </c>
      <c r="AM13" s="5" t="s">
        <v>237</v>
      </c>
      <c r="AN13" s="5" t="s">
        <v>238</v>
      </c>
      <c r="AO13" s="7">
        <v>-8.9600000000000009</v>
      </c>
      <c r="AP13" s="5" t="s">
        <v>239</v>
      </c>
      <c r="AQ13" s="5" t="s">
        <v>240</v>
      </c>
      <c r="AR13" s="5" t="s">
        <v>241</v>
      </c>
      <c r="AS13" s="5" t="s">
        <v>242</v>
      </c>
      <c r="AT13" s="7"/>
    </row>
    <row r="14" spans="1:46" ht="14.25" customHeight="1" x14ac:dyDescent="0.3">
      <c r="A14" s="4">
        <v>3</v>
      </c>
      <c r="B14" s="4" t="s">
        <v>182</v>
      </c>
      <c r="C14" s="4" t="s">
        <v>183</v>
      </c>
      <c r="D14" s="4">
        <v>2022</v>
      </c>
      <c r="E14" s="4" t="s">
        <v>184</v>
      </c>
      <c r="F14" s="4" t="s">
        <v>181</v>
      </c>
      <c r="G14" s="5" t="s">
        <v>243</v>
      </c>
      <c r="H14" s="5" t="s">
        <v>186</v>
      </c>
      <c r="I14" s="5" t="s">
        <v>244</v>
      </c>
      <c r="J14" s="5" t="s">
        <v>245</v>
      </c>
      <c r="K14" s="8">
        <v>5000000</v>
      </c>
      <c r="L14" s="5" t="s">
        <v>246</v>
      </c>
      <c r="M14" s="5" t="s">
        <v>247</v>
      </c>
      <c r="N14" s="5" t="s">
        <v>248</v>
      </c>
      <c r="O14" s="5" t="s">
        <v>249</v>
      </c>
      <c r="P14" s="5" t="s">
        <v>220</v>
      </c>
      <c r="Q14" s="5" t="s">
        <v>250</v>
      </c>
      <c r="R14" s="5" t="s">
        <v>251</v>
      </c>
      <c r="S14" s="5" t="s">
        <v>252</v>
      </c>
      <c r="T14" s="5" t="s">
        <v>253</v>
      </c>
      <c r="U14" s="5" t="s">
        <v>254</v>
      </c>
      <c r="V14" s="5" t="s">
        <v>255</v>
      </c>
      <c r="W14" s="5" t="s">
        <v>256</v>
      </c>
      <c r="X14" s="5" t="s">
        <v>257</v>
      </c>
      <c r="Y14" s="7">
        <v>0</v>
      </c>
      <c r="Z14" s="5" t="s">
        <v>62</v>
      </c>
      <c r="AA14" s="5" t="s">
        <v>62</v>
      </c>
      <c r="AB14" s="5" t="s">
        <v>258</v>
      </c>
      <c r="AC14" s="5" t="s">
        <v>259</v>
      </c>
      <c r="AD14" s="6">
        <f>48700*K14/1000000000</f>
        <v>243.5</v>
      </c>
      <c r="AE14" s="5" t="s">
        <v>260</v>
      </c>
      <c r="AF14" s="7">
        <v>-62.75</v>
      </c>
      <c r="AG14" s="7">
        <v>-2.59</v>
      </c>
      <c r="AH14" s="6">
        <v>-2.4</v>
      </c>
      <c r="AI14" s="5" t="s">
        <v>261</v>
      </c>
      <c r="AJ14" s="5" t="s">
        <v>262</v>
      </c>
      <c r="AK14" s="5" t="s">
        <v>263</v>
      </c>
      <c r="AL14" s="5" t="s">
        <v>264</v>
      </c>
      <c r="AM14" s="5" t="s">
        <v>265</v>
      </c>
      <c r="AN14" s="5" t="s">
        <v>266</v>
      </c>
      <c r="AO14" s="7">
        <v>-12.51</v>
      </c>
      <c r="AP14" s="5" t="s">
        <v>267</v>
      </c>
      <c r="AQ14" s="5" t="s">
        <v>268</v>
      </c>
      <c r="AR14" s="5" t="s">
        <v>269</v>
      </c>
      <c r="AS14" s="5" t="s">
        <v>270</v>
      </c>
      <c r="AT14" s="7"/>
    </row>
    <row r="15" spans="1:46" ht="14.25" customHeight="1" x14ac:dyDescent="0.3">
      <c r="A15" s="4">
        <v>3</v>
      </c>
      <c r="B15" s="4" t="s">
        <v>182</v>
      </c>
      <c r="C15" s="4" t="s">
        <v>183</v>
      </c>
      <c r="D15" s="4">
        <v>2023</v>
      </c>
      <c r="E15" s="4" t="s">
        <v>184</v>
      </c>
      <c r="F15" s="4" t="s">
        <v>181</v>
      </c>
      <c r="G15" s="5" t="s">
        <v>243</v>
      </c>
      <c r="H15" s="5" t="s">
        <v>186</v>
      </c>
      <c r="I15" s="5" t="s">
        <v>271</v>
      </c>
      <c r="J15" s="5" t="s">
        <v>272</v>
      </c>
      <c r="K15" s="8">
        <v>5000000</v>
      </c>
      <c r="L15" s="5" t="s">
        <v>273</v>
      </c>
      <c r="M15" s="5" t="s">
        <v>274</v>
      </c>
      <c r="N15" s="5" t="s">
        <v>275</v>
      </c>
      <c r="O15" s="5" t="s">
        <v>276</v>
      </c>
      <c r="P15" s="5" t="s">
        <v>277</v>
      </c>
      <c r="Q15" s="5" t="s">
        <v>278</v>
      </c>
      <c r="R15" s="5" t="s">
        <v>279</v>
      </c>
      <c r="S15" s="5" t="s">
        <v>280</v>
      </c>
      <c r="T15" s="5" t="s">
        <v>281</v>
      </c>
      <c r="U15" s="5" t="s">
        <v>282</v>
      </c>
      <c r="V15" s="5" t="s">
        <v>283</v>
      </c>
      <c r="W15" s="5" t="s">
        <v>284</v>
      </c>
      <c r="X15" s="5" t="s">
        <v>285</v>
      </c>
      <c r="Y15" s="7">
        <v>0</v>
      </c>
      <c r="Z15" s="5" t="s">
        <v>62</v>
      </c>
      <c r="AA15" s="5" t="s">
        <v>62</v>
      </c>
      <c r="AB15" s="5" t="s">
        <v>286</v>
      </c>
      <c r="AC15" s="5" t="s">
        <v>287</v>
      </c>
      <c r="AD15" s="6">
        <f>68000*K15/1000000000</f>
        <v>340</v>
      </c>
      <c r="AE15" s="5" t="s">
        <v>288</v>
      </c>
      <c r="AF15" s="7">
        <v>59.59</v>
      </c>
      <c r="AG15" s="6">
        <v>-1.6</v>
      </c>
      <c r="AH15" s="7">
        <v>-1.06</v>
      </c>
      <c r="AI15" s="5" t="s">
        <v>289</v>
      </c>
      <c r="AJ15" s="5" t="s">
        <v>290</v>
      </c>
      <c r="AK15" s="5" t="s">
        <v>291</v>
      </c>
      <c r="AL15" s="5" t="s">
        <v>292</v>
      </c>
      <c r="AM15" s="5" t="s">
        <v>293</v>
      </c>
      <c r="AN15" s="5" t="s">
        <v>294</v>
      </c>
      <c r="AO15" s="7">
        <v>-7.49</v>
      </c>
      <c r="AP15" s="5" t="s">
        <v>295</v>
      </c>
      <c r="AQ15" s="5" t="s">
        <v>296</v>
      </c>
      <c r="AR15" s="5" t="s">
        <v>297</v>
      </c>
      <c r="AS15" s="5" t="s">
        <v>298</v>
      </c>
      <c r="AT15" s="7"/>
    </row>
    <row r="16" spans="1:46" ht="14.25" customHeight="1" x14ac:dyDescent="0.3">
      <c r="A16" s="4">
        <v>3</v>
      </c>
      <c r="B16" s="4" t="s">
        <v>182</v>
      </c>
      <c r="C16" s="4" t="s">
        <v>183</v>
      </c>
      <c r="D16" s="4">
        <v>2024</v>
      </c>
      <c r="E16" s="4" t="s">
        <v>184</v>
      </c>
      <c r="F16" s="4" t="s">
        <v>181</v>
      </c>
      <c r="G16" s="5" t="s">
        <v>243</v>
      </c>
      <c r="H16" s="5" t="s">
        <v>186</v>
      </c>
      <c r="I16" s="5" t="s">
        <v>271</v>
      </c>
      <c r="J16" s="5" t="s">
        <v>272</v>
      </c>
      <c r="K16" s="8">
        <v>5000000</v>
      </c>
      <c r="L16" s="5" t="s">
        <v>299</v>
      </c>
      <c r="M16" s="5" t="s">
        <v>300</v>
      </c>
      <c r="N16" s="5" t="s">
        <v>301</v>
      </c>
      <c r="O16" s="5" t="s">
        <v>302</v>
      </c>
      <c r="P16" s="5" t="s">
        <v>303</v>
      </c>
      <c r="Q16" s="5" t="s">
        <v>304</v>
      </c>
      <c r="R16" s="5" t="s">
        <v>305</v>
      </c>
      <c r="S16" s="5" t="s">
        <v>306</v>
      </c>
      <c r="T16" s="5" t="s">
        <v>307</v>
      </c>
      <c r="U16" s="5" t="s">
        <v>308</v>
      </c>
      <c r="V16" s="5" t="s">
        <v>309</v>
      </c>
      <c r="W16" s="5" t="s">
        <v>310</v>
      </c>
      <c r="X16" s="5" t="s">
        <v>311</v>
      </c>
      <c r="Y16" s="7">
        <v>0</v>
      </c>
      <c r="Z16" s="5" t="s">
        <v>62</v>
      </c>
      <c r="AA16" s="5" t="s">
        <v>62</v>
      </c>
      <c r="AB16" s="5" t="s">
        <v>312</v>
      </c>
      <c r="AC16" s="5" t="s">
        <v>313</v>
      </c>
      <c r="AD16" s="6">
        <f>54000*K16/1000000000</f>
        <v>270</v>
      </c>
      <c r="AE16" s="5" t="s">
        <v>314</v>
      </c>
      <c r="AF16" s="5" t="s">
        <v>315</v>
      </c>
      <c r="AG16" s="7">
        <v>-1.17</v>
      </c>
      <c r="AH16" s="7">
        <v>-8.65</v>
      </c>
      <c r="AI16" s="5" t="s">
        <v>316</v>
      </c>
      <c r="AJ16" s="5" t="s">
        <v>317</v>
      </c>
      <c r="AK16" s="5" t="s">
        <v>318</v>
      </c>
      <c r="AL16" s="5" t="s">
        <v>319</v>
      </c>
      <c r="AM16" s="5" t="s">
        <v>320</v>
      </c>
      <c r="AN16" s="5" t="s">
        <v>321</v>
      </c>
      <c r="AO16" s="7">
        <v>-5.99</v>
      </c>
      <c r="AP16" s="5" t="s">
        <v>322</v>
      </c>
      <c r="AQ16" s="5" t="s">
        <v>323</v>
      </c>
      <c r="AR16" s="5" t="s">
        <v>324</v>
      </c>
      <c r="AS16" s="5" t="s">
        <v>325</v>
      </c>
      <c r="AT16" s="7"/>
    </row>
    <row r="17" spans="1:46" ht="14.25" customHeight="1" x14ac:dyDescent="0.3">
      <c r="A17" s="10">
        <v>4</v>
      </c>
      <c r="B17" s="10" t="s">
        <v>326</v>
      </c>
      <c r="C17" s="10" t="s">
        <v>327</v>
      </c>
      <c r="D17" s="10">
        <v>2020</v>
      </c>
      <c r="E17" s="10" t="s">
        <v>47</v>
      </c>
      <c r="F17" s="10" t="s">
        <v>48</v>
      </c>
      <c r="G17" s="13">
        <v>37.01</v>
      </c>
      <c r="H17" s="14">
        <v>0</v>
      </c>
      <c r="I17" s="13">
        <v>0.01</v>
      </c>
      <c r="J17" s="14">
        <v>1.4</v>
      </c>
      <c r="K17" s="13" t="s">
        <v>328</v>
      </c>
      <c r="L17" s="13" t="s">
        <v>329</v>
      </c>
      <c r="M17" s="13" t="s">
        <v>329</v>
      </c>
      <c r="N17" s="13" t="s">
        <v>330</v>
      </c>
      <c r="O17" s="13" t="s">
        <v>331</v>
      </c>
      <c r="P17" s="13" t="s">
        <v>332</v>
      </c>
      <c r="Q17" s="13" t="s">
        <v>333</v>
      </c>
      <c r="R17" s="13" t="s">
        <v>334</v>
      </c>
      <c r="S17" s="13" t="s">
        <v>335</v>
      </c>
      <c r="T17" s="13" t="s">
        <v>336</v>
      </c>
      <c r="U17" s="13" t="s">
        <v>337</v>
      </c>
      <c r="V17" s="13" t="s">
        <v>338</v>
      </c>
      <c r="W17" s="13" t="s">
        <v>339</v>
      </c>
      <c r="X17" s="13" t="s">
        <v>340</v>
      </c>
      <c r="Y17" s="13" t="s">
        <v>333</v>
      </c>
      <c r="Z17" s="13" t="s">
        <v>62</v>
      </c>
      <c r="AA17" s="13" t="s">
        <v>333</v>
      </c>
      <c r="AB17" s="13" t="s">
        <v>341</v>
      </c>
      <c r="AC17" s="15" t="s">
        <v>342</v>
      </c>
      <c r="AD17" s="16">
        <f>9020*K17/1000000000</f>
        <v>541.20000000000005</v>
      </c>
      <c r="AE17" s="13" t="s">
        <v>343</v>
      </c>
      <c r="AF17" s="13" t="s">
        <v>344</v>
      </c>
      <c r="AG17" s="13">
        <v>-6.52</v>
      </c>
      <c r="AH17" s="13">
        <v>-38.520000000000003</v>
      </c>
      <c r="AI17" s="13" t="s">
        <v>345</v>
      </c>
      <c r="AJ17" s="16">
        <f>46029077746/1000000000</f>
        <v>46.029077745999999</v>
      </c>
      <c r="AK17" s="13" t="s">
        <v>346</v>
      </c>
      <c r="AL17" s="13" t="s">
        <v>347</v>
      </c>
      <c r="AM17" s="13">
        <v>31.31</v>
      </c>
      <c r="AN17" s="13" t="s">
        <v>348</v>
      </c>
      <c r="AO17" s="13" t="s">
        <v>333</v>
      </c>
      <c r="AP17" s="13" t="s">
        <v>349</v>
      </c>
      <c r="AQ17" s="13" t="s">
        <v>350</v>
      </c>
      <c r="AR17" s="13" t="s">
        <v>351</v>
      </c>
      <c r="AS17" s="13" t="s">
        <v>352</v>
      </c>
      <c r="AT17" s="17"/>
    </row>
    <row r="18" spans="1:46" ht="14.25" customHeight="1" x14ac:dyDescent="0.3">
      <c r="A18" s="10">
        <v>4</v>
      </c>
      <c r="B18" s="10" t="s">
        <v>326</v>
      </c>
      <c r="C18" s="10" t="s">
        <v>327</v>
      </c>
      <c r="D18" s="10">
        <v>2021</v>
      </c>
      <c r="E18" s="10" t="s">
        <v>47</v>
      </c>
      <c r="F18" s="10" t="s">
        <v>48</v>
      </c>
      <c r="G18" s="13">
        <v>33.61</v>
      </c>
      <c r="H18" s="14">
        <v>0</v>
      </c>
      <c r="I18" s="13">
        <v>12.86</v>
      </c>
      <c r="J18" s="13">
        <v>0.82</v>
      </c>
      <c r="K18" s="13" t="s">
        <v>353</v>
      </c>
      <c r="L18" s="13" t="s">
        <v>354</v>
      </c>
      <c r="M18" s="13" t="s">
        <v>354</v>
      </c>
      <c r="N18" s="13" t="s">
        <v>355</v>
      </c>
      <c r="O18" s="13" t="s">
        <v>356</v>
      </c>
      <c r="P18" s="13" t="s">
        <v>357</v>
      </c>
      <c r="Q18" s="13" t="s">
        <v>333</v>
      </c>
      <c r="R18" s="13" t="s">
        <v>358</v>
      </c>
      <c r="S18" s="13" t="s">
        <v>359</v>
      </c>
      <c r="T18" s="13" t="s">
        <v>360</v>
      </c>
      <c r="U18" s="13" t="s">
        <v>361</v>
      </c>
      <c r="V18" s="13" t="s">
        <v>362</v>
      </c>
      <c r="W18" s="13" t="s">
        <v>363</v>
      </c>
      <c r="X18" s="13" t="s">
        <v>364</v>
      </c>
      <c r="Y18" s="13" t="s">
        <v>333</v>
      </c>
      <c r="Z18" s="13" t="s">
        <v>62</v>
      </c>
      <c r="AA18" s="13" t="s">
        <v>333</v>
      </c>
      <c r="AB18" s="13" t="s">
        <v>365</v>
      </c>
      <c r="AC18" s="13" t="s">
        <v>366</v>
      </c>
      <c r="AD18" s="16">
        <f>22000*K18/1000000000</f>
        <v>2310</v>
      </c>
      <c r="AE18" s="13" t="s">
        <v>367</v>
      </c>
      <c r="AF18" s="13">
        <v>-340.03</v>
      </c>
      <c r="AG18" s="13">
        <v>-14.3</v>
      </c>
      <c r="AH18" s="13">
        <v>-65.48</v>
      </c>
      <c r="AI18" s="13" t="s">
        <v>368</v>
      </c>
      <c r="AJ18" s="16">
        <v>115.35</v>
      </c>
      <c r="AK18" s="13" t="s">
        <v>369</v>
      </c>
      <c r="AL18" s="13" t="s">
        <v>370</v>
      </c>
      <c r="AM18" s="13">
        <v>26.01</v>
      </c>
      <c r="AN18" s="13" t="s">
        <v>371</v>
      </c>
      <c r="AO18" s="13" t="s">
        <v>333</v>
      </c>
      <c r="AP18" s="13" t="s">
        <v>372</v>
      </c>
      <c r="AQ18" s="13" t="s">
        <v>350</v>
      </c>
      <c r="AR18" s="13" t="s">
        <v>373</v>
      </c>
      <c r="AS18" s="13" t="s">
        <v>374</v>
      </c>
      <c r="AT18" s="17"/>
    </row>
    <row r="19" spans="1:46" ht="14.25" customHeight="1" x14ac:dyDescent="0.3">
      <c r="A19" s="10">
        <v>4</v>
      </c>
      <c r="B19" s="10" t="s">
        <v>326</v>
      </c>
      <c r="C19" s="10" t="s">
        <v>327</v>
      </c>
      <c r="D19" s="10">
        <v>2022</v>
      </c>
      <c r="E19" s="10" t="s">
        <v>47</v>
      </c>
      <c r="F19" s="10" t="s">
        <v>48</v>
      </c>
      <c r="G19" s="13">
        <v>34.61</v>
      </c>
      <c r="H19" s="14">
        <v>0</v>
      </c>
      <c r="I19" s="13">
        <v>17.25</v>
      </c>
      <c r="J19" s="13">
        <v>0.11</v>
      </c>
      <c r="K19" s="13" t="s">
        <v>375</v>
      </c>
      <c r="L19" s="13" t="s">
        <v>376</v>
      </c>
      <c r="M19" s="13" t="s">
        <v>376</v>
      </c>
      <c r="N19" s="13" t="s">
        <v>377</v>
      </c>
      <c r="O19" s="13" t="s">
        <v>378</v>
      </c>
      <c r="P19" s="13" t="s">
        <v>379</v>
      </c>
      <c r="Q19" s="13" t="s">
        <v>333</v>
      </c>
      <c r="R19" s="13" t="s">
        <v>380</v>
      </c>
      <c r="S19" s="13" t="s">
        <v>381</v>
      </c>
      <c r="T19" s="13" t="s">
        <v>317</v>
      </c>
      <c r="U19" s="13" t="s">
        <v>382</v>
      </c>
      <c r="V19" s="13" t="s">
        <v>383</v>
      </c>
      <c r="W19" s="13" t="s">
        <v>384</v>
      </c>
      <c r="X19" s="13" t="s">
        <v>385</v>
      </c>
      <c r="Y19" s="13" t="s">
        <v>333</v>
      </c>
      <c r="Z19" s="13" t="s">
        <v>62</v>
      </c>
      <c r="AA19" s="13" t="s">
        <v>62</v>
      </c>
      <c r="AB19" s="13" t="s">
        <v>386</v>
      </c>
      <c r="AC19" s="13" t="s">
        <v>387</v>
      </c>
      <c r="AD19" s="16">
        <f>3300*K19/1000000000</f>
        <v>710.3244588</v>
      </c>
      <c r="AE19" s="13" t="s">
        <v>388</v>
      </c>
      <c r="AF19" s="13">
        <v>-165.3</v>
      </c>
      <c r="AG19" s="13">
        <v>-427.59</v>
      </c>
      <c r="AH19" s="13">
        <v>-921.09</v>
      </c>
      <c r="AI19" s="13" t="s">
        <v>389</v>
      </c>
      <c r="AJ19" s="16">
        <f>354348000/1000000000</f>
        <v>0.354348</v>
      </c>
      <c r="AK19" s="13" t="s">
        <v>390</v>
      </c>
      <c r="AL19" s="13" t="s">
        <v>391</v>
      </c>
      <c r="AM19" s="13">
        <v>31.94</v>
      </c>
      <c r="AN19" s="13" t="s">
        <v>392</v>
      </c>
      <c r="AO19" s="13" t="s">
        <v>333</v>
      </c>
      <c r="AP19" s="13" t="s">
        <v>393</v>
      </c>
      <c r="AQ19" s="13" t="s">
        <v>394</v>
      </c>
      <c r="AR19" s="13" t="s">
        <v>395</v>
      </c>
      <c r="AS19" s="13" t="s">
        <v>396</v>
      </c>
      <c r="AT19" s="17"/>
    </row>
    <row r="20" spans="1:46" ht="14.25" customHeight="1" x14ac:dyDescent="0.3">
      <c r="A20" s="10">
        <v>4</v>
      </c>
      <c r="B20" s="10" t="s">
        <v>326</v>
      </c>
      <c r="C20" s="10" t="s">
        <v>327</v>
      </c>
      <c r="D20" s="10">
        <v>2023</v>
      </c>
      <c r="E20" s="10" t="s">
        <v>47</v>
      </c>
      <c r="F20" s="10" t="s">
        <v>48</v>
      </c>
      <c r="G20" s="13">
        <v>36.659999999999997</v>
      </c>
      <c r="H20" s="14">
        <v>0</v>
      </c>
      <c r="I20" s="13">
        <v>12.91</v>
      </c>
      <c r="J20" s="13">
        <v>0.65</v>
      </c>
      <c r="K20" s="13" t="s">
        <v>375</v>
      </c>
      <c r="L20" s="13" t="s">
        <v>397</v>
      </c>
      <c r="M20" s="13" t="s">
        <v>398</v>
      </c>
      <c r="N20" s="13" t="s">
        <v>399</v>
      </c>
      <c r="O20" s="13" t="s">
        <v>400</v>
      </c>
      <c r="P20" s="13" t="s">
        <v>401</v>
      </c>
      <c r="Q20" s="13" t="s">
        <v>333</v>
      </c>
      <c r="R20" s="13" t="s">
        <v>402</v>
      </c>
      <c r="S20" s="13" t="s">
        <v>403</v>
      </c>
      <c r="T20" s="13" t="s">
        <v>404</v>
      </c>
      <c r="U20" s="13" t="s">
        <v>405</v>
      </c>
      <c r="V20" s="13" t="s">
        <v>406</v>
      </c>
      <c r="W20" s="13" t="s">
        <v>407</v>
      </c>
      <c r="X20" s="13" t="s">
        <v>408</v>
      </c>
      <c r="Y20" s="13" t="s">
        <v>333</v>
      </c>
      <c r="Z20" s="13" t="s">
        <v>62</v>
      </c>
      <c r="AA20" s="13" t="s">
        <v>62</v>
      </c>
      <c r="AB20" s="13" t="s">
        <v>409</v>
      </c>
      <c r="AC20" s="13" t="s">
        <v>410</v>
      </c>
      <c r="AD20" s="16">
        <f>5650*K20/1000000000</f>
        <v>1216.1615734</v>
      </c>
      <c r="AE20" s="13" t="s">
        <v>411</v>
      </c>
      <c r="AF20" s="13">
        <v>-449.02</v>
      </c>
      <c r="AG20" s="13">
        <v>-1.19</v>
      </c>
      <c r="AH20" s="13">
        <v>-49.32</v>
      </c>
      <c r="AI20" s="13" t="s">
        <v>412</v>
      </c>
      <c r="AJ20" s="16">
        <v>523.42999999999995</v>
      </c>
      <c r="AK20" s="13" t="s">
        <v>413</v>
      </c>
      <c r="AL20" s="13" t="s">
        <v>414</v>
      </c>
      <c r="AM20" s="13">
        <v>-14.68</v>
      </c>
      <c r="AN20" s="13" t="s">
        <v>415</v>
      </c>
      <c r="AO20" s="13">
        <v>-0.51</v>
      </c>
      <c r="AP20" s="13" t="s">
        <v>416</v>
      </c>
      <c r="AQ20" s="13" t="s">
        <v>394</v>
      </c>
      <c r="AR20" s="13" t="s">
        <v>417</v>
      </c>
      <c r="AS20" s="13" t="s">
        <v>418</v>
      </c>
      <c r="AT20" s="17"/>
    </row>
    <row r="21" spans="1:46" ht="14.25" customHeight="1" x14ac:dyDescent="0.3">
      <c r="A21" s="10">
        <v>4</v>
      </c>
      <c r="B21" s="10" t="s">
        <v>326</v>
      </c>
      <c r="C21" s="10" t="s">
        <v>327</v>
      </c>
      <c r="D21" s="10">
        <v>2024</v>
      </c>
      <c r="E21" s="10" t="s">
        <v>47</v>
      </c>
      <c r="F21" s="10" t="s">
        <v>48</v>
      </c>
      <c r="G21" s="13">
        <v>34.56</v>
      </c>
      <c r="H21" s="14">
        <v>0</v>
      </c>
      <c r="I21" s="13">
        <v>12.91</v>
      </c>
      <c r="J21" s="13">
        <v>0.65</v>
      </c>
      <c r="K21" s="13" t="s">
        <v>375</v>
      </c>
      <c r="L21" s="13" t="s">
        <v>419</v>
      </c>
      <c r="M21" s="13" t="s">
        <v>420</v>
      </c>
      <c r="N21" s="13" t="s">
        <v>421</v>
      </c>
      <c r="O21" s="13" t="s">
        <v>422</v>
      </c>
      <c r="P21" s="13" t="s">
        <v>423</v>
      </c>
      <c r="Q21" s="13" t="s">
        <v>333</v>
      </c>
      <c r="R21" s="13" t="s">
        <v>424</v>
      </c>
      <c r="S21" s="13" t="s">
        <v>425</v>
      </c>
      <c r="T21" s="13" t="s">
        <v>426</v>
      </c>
      <c r="U21" s="13" t="s">
        <v>427</v>
      </c>
      <c r="V21" s="13" t="s">
        <v>428</v>
      </c>
      <c r="W21" s="13" t="s">
        <v>429</v>
      </c>
      <c r="X21" s="13" t="s">
        <v>430</v>
      </c>
      <c r="Y21" s="13" t="s">
        <v>333</v>
      </c>
      <c r="Z21" s="13" t="s">
        <v>62</v>
      </c>
      <c r="AA21" s="13" t="s">
        <v>62</v>
      </c>
      <c r="AB21" s="13" t="s">
        <v>431</v>
      </c>
      <c r="AC21" s="13" t="s">
        <v>432</v>
      </c>
      <c r="AD21" s="16">
        <f>6230*K21/1000000000</f>
        <v>1341.00647828</v>
      </c>
      <c r="AE21" s="13" t="s">
        <v>433</v>
      </c>
      <c r="AF21" s="13">
        <v>-657.48</v>
      </c>
      <c r="AG21" s="13">
        <v>-15.17</v>
      </c>
      <c r="AH21" s="13" t="s">
        <v>434</v>
      </c>
      <c r="AI21" s="13" t="s">
        <v>435</v>
      </c>
      <c r="AJ21" s="16">
        <v>1004.61</v>
      </c>
      <c r="AK21" s="13" t="s">
        <v>436</v>
      </c>
      <c r="AL21" s="13" t="s">
        <v>437</v>
      </c>
      <c r="AM21" s="13">
        <v>9.42</v>
      </c>
      <c r="AN21" s="13" t="s">
        <v>438</v>
      </c>
      <c r="AO21" s="13" t="s">
        <v>333</v>
      </c>
      <c r="AP21" s="13" t="s">
        <v>439</v>
      </c>
      <c r="AQ21" s="13" t="s">
        <v>440</v>
      </c>
      <c r="AR21" s="13" t="s">
        <v>441</v>
      </c>
      <c r="AS21" s="13" t="s">
        <v>442</v>
      </c>
      <c r="AT21" s="17"/>
    </row>
    <row r="22" spans="1:46" ht="14.25" customHeight="1" x14ac:dyDescent="0.3">
      <c r="A22" s="4">
        <v>5</v>
      </c>
      <c r="B22" s="4" t="s">
        <v>443</v>
      </c>
      <c r="C22" s="4" t="s">
        <v>444</v>
      </c>
      <c r="D22" s="4">
        <v>2020</v>
      </c>
      <c r="E22" s="4" t="s">
        <v>445</v>
      </c>
      <c r="F22" s="4" t="s">
        <v>48</v>
      </c>
      <c r="G22" s="18">
        <v>15.46</v>
      </c>
      <c r="H22" s="18" t="s">
        <v>446</v>
      </c>
      <c r="I22" s="18" t="s">
        <v>447</v>
      </c>
      <c r="J22" s="19">
        <v>12.9</v>
      </c>
      <c r="K22" s="20">
        <v>469969050</v>
      </c>
      <c r="L22" s="18" t="s">
        <v>448</v>
      </c>
      <c r="M22" s="18" t="s">
        <v>449</v>
      </c>
      <c r="N22" s="18" t="s">
        <v>450</v>
      </c>
      <c r="O22" s="18" t="s">
        <v>451</v>
      </c>
      <c r="P22" s="18" t="s">
        <v>452</v>
      </c>
      <c r="Q22" s="18">
        <v>476.15</v>
      </c>
      <c r="R22" s="21">
        <v>2230.847676629</v>
      </c>
      <c r="S22" s="18" t="s">
        <v>453</v>
      </c>
      <c r="T22" s="18" t="s">
        <v>454</v>
      </c>
      <c r="U22" s="18" t="s">
        <v>455</v>
      </c>
      <c r="V22" s="18" t="s">
        <v>456</v>
      </c>
      <c r="W22" s="18" t="s">
        <v>457</v>
      </c>
      <c r="X22" s="21">
        <v>15566.08</v>
      </c>
      <c r="Y22" s="19" t="s">
        <v>446</v>
      </c>
      <c r="Z22" s="18" t="s">
        <v>62</v>
      </c>
      <c r="AA22" s="18" t="s">
        <v>62</v>
      </c>
      <c r="AB22" s="18" t="s">
        <v>458</v>
      </c>
      <c r="AC22" s="18" t="s">
        <v>459</v>
      </c>
      <c r="AD22" s="21">
        <f>22500*K22/1000000000</f>
        <v>10574.303625</v>
      </c>
      <c r="AE22" s="18" t="s">
        <v>460</v>
      </c>
      <c r="AF22" s="18" t="s">
        <v>461</v>
      </c>
      <c r="AG22" s="21">
        <v>-1917.45</v>
      </c>
      <c r="AH22" s="21">
        <v>-2979.94</v>
      </c>
      <c r="AI22" s="18" t="s">
        <v>462</v>
      </c>
      <c r="AJ22" s="21">
        <v>8105.61</v>
      </c>
      <c r="AK22" s="18" t="s">
        <v>463</v>
      </c>
      <c r="AL22" s="18" t="s">
        <v>464</v>
      </c>
      <c r="AM22" s="18" t="s">
        <v>465</v>
      </c>
      <c r="AN22" s="18" t="s">
        <v>466</v>
      </c>
      <c r="AO22" s="18">
        <v>-47.6</v>
      </c>
      <c r="AP22" s="20">
        <v>1682</v>
      </c>
      <c r="AQ22" s="20">
        <v>3055</v>
      </c>
      <c r="AR22" s="18" t="s">
        <v>467</v>
      </c>
      <c r="AS22" s="18" t="s">
        <v>468</v>
      </c>
      <c r="AT22" s="7"/>
    </row>
    <row r="23" spans="1:46" ht="14.25" customHeight="1" x14ac:dyDescent="0.3">
      <c r="A23" s="4">
        <v>5</v>
      </c>
      <c r="B23" s="4" t="s">
        <v>443</v>
      </c>
      <c r="C23" s="4" t="s">
        <v>444</v>
      </c>
      <c r="D23" s="4">
        <v>2021</v>
      </c>
      <c r="E23" s="4" t="s">
        <v>445</v>
      </c>
      <c r="F23" s="4" t="s">
        <v>48</v>
      </c>
      <c r="G23" s="18">
        <v>24.73</v>
      </c>
      <c r="H23" s="18" t="s">
        <v>446</v>
      </c>
      <c r="I23" s="18">
        <v>16.420000000000002</v>
      </c>
      <c r="J23" s="18">
        <f>8.36+0.15</f>
        <v>8.51</v>
      </c>
      <c r="K23" s="20">
        <v>851495793</v>
      </c>
      <c r="L23" s="18" t="s">
        <v>469</v>
      </c>
      <c r="M23" s="18" t="s">
        <v>470</v>
      </c>
      <c r="N23" s="18" t="s">
        <v>471</v>
      </c>
      <c r="O23" s="18" t="s">
        <v>472</v>
      </c>
      <c r="P23" s="18" t="s">
        <v>473</v>
      </c>
      <c r="Q23" s="18" t="s">
        <v>474</v>
      </c>
      <c r="R23" s="21">
        <v>5587.4485924560004</v>
      </c>
      <c r="S23" s="18" t="s">
        <v>475</v>
      </c>
      <c r="T23" s="21">
        <v>19314.89</v>
      </c>
      <c r="U23" s="18" t="s">
        <v>455</v>
      </c>
      <c r="V23" s="18" t="s">
        <v>476</v>
      </c>
      <c r="W23" s="21">
        <v>1404.47</v>
      </c>
      <c r="X23" s="18" t="s">
        <v>477</v>
      </c>
      <c r="Y23" s="18" t="s">
        <v>478</v>
      </c>
      <c r="Z23" s="18" t="s">
        <v>62</v>
      </c>
      <c r="AA23" s="18" t="s">
        <v>62</v>
      </c>
      <c r="AB23" s="18" t="s">
        <v>479</v>
      </c>
      <c r="AC23" s="18" t="s">
        <v>480</v>
      </c>
      <c r="AD23" s="21">
        <f>40650*K23/1000000000</f>
        <v>34613.303985450002</v>
      </c>
      <c r="AE23" s="18" t="s">
        <v>481</v>
      </c>
      <c r="AF23" s="21">
        <v>-2513.7600000000002</v>
      </c>
      <c r="AG23" s="21">
        <v>-7977.29</v>
      </c>
      <c r="AH23" s="21">
        <v>-5776.73</v>
      </c>
      <c r="AI23" s="18" t="s">
        <v>482</v>
      </c>
      <c r="AJ23" s="21">
        <v>17717.09</v>
      </c>
      <c r="AK23" s="18" t="s">
        <v>483</v>
      </c>
      <c r="AL23" s="18" t="s">
        <v>484</v>
      </c>
      <c r="AM23" s="18" t="s">
        <v>485</v>
      </c>
      <c r="AN23" s="18" t="s">
        <v>486</v>
      </c>
      <c r="AO23" s="18">
        <v>-347.3</v>
      </c>
      <c r="AP23" s="18" t="s">
        <v>487</v>
      </c>
      <c r="AQ23" s="18" t="s">
        <v>488</v>
      </c>
      <c r="AR23" s="18" t="s">
        <v>489</v>
      </c>
      <c r="AS23" s="18" t="s">
        <v>490</v>
      </c>
      <c r="AT23" s="7"/>
    </row>
    <row r="24" spans="1:46" ht="14.25" customHeight="1" x14ac:dyDescent="0.3">
      <c r="A24" s="4">
        <v>5</v>
      </c>
      <c r="B24" s="4" t="s">
        <v>443</v>
      </c>
      <c r="C24" s="4" t="s">
        <v>444</v>
      </c>
      <c r="D24" s="4">
        <v>2022</v>
      </c>
      <c r="E24" s="4" t="s">
        <v>445</v>
      </c>
      <c r="F24" s="4" t="s">
        <v>48</v>
      </c>
      <c r="G24" s="19">
        <v>25.7</v>
      </c>
      <c r="H24" s="18" t="s">
        <v>446</v>
      </c>
      <c r="I24" s="19">
        <v>10.8</v>
      </c>
      <c r="J24" s="19">
        <v>12</v>
      </c>
      <c r="K24" s="20">
        <v>851495793</v>
      </c>
      <c r="L24" s="18" t="s">
        <v>491</v>
      </c>
      <c r="M24" s="18" t="s">
        <v>492</v>
      </c>
      <c r="N24" s="18" t="s">
        <v>493</v>
      </c>
      <c r="O24" s="18" t="s">
        <v>494</v>
      </c>
      <c r="P24" s="18" t="s">
        <v>495</v>
      </c>
      <c r="Q24" s="18">
        <v>660.5</v>
      </c>
      <c r="R24" s="21">
        <v>7480.9494022580002</v>
      </c>
      <c r="S24" s="18" t="s">
        <v>496</v>
      </c>
      <c r="T24" s="18" t="s">
        <v>497</v>
      </c>
      <c r="U24" s="18" t="s">
        <v>455</v>
      </c>
      <c r="V24" s="18" t="s">
        <v>498</v>
      </c>
      <c r="W24" s="21">
        <v>2708.34</v>
      </c>
      <c r="X24" s="21">
        <v>28045.599999999999</v>
      </c>
      <c r="Y24" s="18" t="s">
        <v>478</v>
      </c>
      <c r="Z24" s="18" t="s">
        <v>62</v>
      </c>
      <c r="AA24" s="18" t="s">
        <v>62</v>
      </c>
      <c r="AB24" s="18" t="s">
        <v>499</v>
      </c>
      <c r="AC24" s="18" t="s">
        <v>500</v>
      </c>
      <c r="AD24" s="21">
        <f>12400*K24/1000000000</f>
        <v>10558.5478332</v>
      </c>
      <c r="AE24" s="18" t="s">
        <v>501</v>
      </c>
      <c r="AF24" s="21">
        <v>7917.25</v>
      </c>
      <c r="AG24" s="21">
        <v>-4425.88</v>
      </c>
      <c r="AH24" s="21">
        <v>-3132.63</v>
      </c>
      <c r="AI24" s="21">
        <v>3156.25</v>
      </c>
      <c r="AJ24" s="21">
        <v>14065.45</v>
      </c>
      <c r="AK24" s="18" t="s">
        <v>502</v>
      </c>
      <c r="AL24" s="18" t="s">
        <v>503</v>
      </c>
      <c r="AM24" s="18" t="s">
        <v>504</v>
      </c>
      <c r="AN24" s="18" t="s">
        <v>505</v>
      </c>
      <c r="AO24" s="21">
        <v>-1399.96</v>
      </c>
      <c r="AP24" s="18">
        <v>433</v>
      </c>
      <c r="AQ24" s="18" t="s">
        <v>506</v>
      </c>
      <c r="AR24" s="18" t="s">
        <v>507</v>
      </c>
      <c r="AS24" s="18" t="s">
        <v>508</v>
      </c>
      <c r="AT24" s="7"/>
    </row>
    <row r="25" spans="1:46" ht="14.25" customHeight="1" x14ac:dyDescent="0.3">
      <c r="A25" s="4">
        <v>5</v>
      </c>
      <c r="B25" s="4" t="s">
        <v>443</v>
      </c>
      <c r="C25" s="4" t="s">
        <v>444</v>
      </c>
      <c r="D25" s="4">
        <v>2023</v>
      </c>
      <c r="E25" s="4" t="s">
        <v>445</v>
      </c>
      <c r="F25" s="4" t="s">
        <v>48</v>
      </c>
      <c r="G25" s="18">
        <v>24.26</v>
      </c>
      <c r="H25" s="18" t="s">
        <v>446</v>
      </c>
      <c r="I25" s="19">
        <v>7.6</v>
      </c>
      <c r="J25" s="19">
        <v>10.1</v>
      </c>
      <c r="K25" s="20">
        <v>851495793</v>
      </c>
      <c r="L25" s="18" t="s">
        <v>509</v>
      </c>
      <c r="M25" s="18" t="s">
        <v>510</v>
      </c>
      <c r="N25" s="18" t="s">
        <v>511</v>
      </c>
      <c r="O25" s="18" t="s">
        <v>512</v>
      </c>
      <c r="P25" s="18" t="s">
        <v>513</v>
      </c>
      <c r="Q25" s="18" t="s">
        <v>514</v>
      </c>
      <c r="R25" s="18" t="s">
        <v>515</v>
      </c>
      <c r="S25" s="18" t="s">
        <v>516</v>
      </c>
      <c r="T25" s="18" t="s">
        <v>517</v>
      </c>
      <c r="U25" s="18" t="s">
        <v>455</v>
      </c>
      <c r="V25" s="18" t="s">
        <v>518</v>
      </c>
      <c r="W25" s="18" t="s">
        <v>519</v>
      </c>
      <c r="X25" s="18" t="s">
        <v>520</v>
      </c>
      <c r="Y25" s="18" t="s">
        <v>521</v>
      </c>
      <c r="Z25" s="18" t="s">
        <v>62</v>
      </c>
      <c r="AA25" s="18" t="s">
        <v>62</v>
      </c>
      <c r="AB25" s="18" t="s">
        <v>522</v>
      </c>
      <c r="AC25" s="18" t="s">
        <v>523</v>
      </c>
      <c r="AD25" s="21">
        <f>23600*K25/1000000000</f>
        <v>20095.3007148</v>
      </c>
      <c r="AE25" s="18" t="s">
        <v>524</v>
      </c>
      <c r="AF25" s="21">
        <v>4425.88</v>
      </c>
      <c r="AG25" s="21">
        <v>-5327.02</v>
      </c>
      <c r="AH25" s="21">
        <v>-6923.88</v>
      </c>
      <c r="AI25" s="18" t="s">
        <v>525</v>
      </c>
      <c r="AJ25" s="21">
        <v>15262.15</v>
      </c>
      <c r="AK25" s="18" t="s">
        <v>526</v>
      </c>
      <c r="AL25" s="18" t="s">
        <v>527</v>
      </c>
      <c r="AM25" s="18">
        <v>-6.52</v>
      </c>
      <c r="AN25" s="18" t="s">
        <v>528</v>
      </c>
      <c r="AO25" s="18">
        <v>-792.75</v>
      </c>
      <c r="AP25" s="18">
        <v>388</v>
      </c>
      <c r="AQ25" s="18" t="s">
        <v>529</v>
      </c>
      <c r="AR25" s="21">
        <v>17863.28</v>
      </c>
      <c r="AS25" s="18" t="s">
        <v>530</v>
      </c>
      <c r="AT25" s="7"/>
    </row>
    <row r="26" spans="1:46" ht="14.25" customHeight="1" x14ac:dyDescent="0.3">
      <c r="A26" s="4">
        <v>5</v>
      </c>
      <c r="B26" s="4" t="s">
        <v>443</v>
      </c>
      <c r="C26" s="4" t="s">
        <v>444</v>
      </c>
      <c r="D26" s="4">
        <v>2024</v>
      </c>
      <c r="E26" s="4" t="s">
        <v>445</v>
      </c>
      <c r="F26" s="4" t="s">
        <v>48</v>
      </c>
      <c r="G26" s="18">
        <v>24.13</v>
      </c>
      <c r="H26" s="18" t="s">
        <v>446</v>
      </c>
      <c r="I26" s="19">
        <v>18.5</v>
      </c>
      <c r="J26" s="18">
        <f>6.92+0.23</f>
        <v>7.15</v>
      </c>
      <c r="K26" s="20">
        <v>859429793</v>
      </c>
      <c r="L26" s="18" t="s">
        <v>531</v>
      </c>
      <c r="M26" s="18" t="s">
        <v>532</v>
      </c>
      <c r="N26" s="18" t="s">
        <v>533</v>
      </c>
      <c r="O26" s="18" t="s">
        <v>534</v>
      </c>
      <c r="P26" s="18" t="s">
        <v>535</v>
      </c>
      <c r="Q26" s="18" t="s">
        <v>536</v>
      </c>
      <c r="R26" s="18" t="s">
        <v>537</v>
      </c>
      <c r="S26" s="18" t="s">
        <v>538</v>
      </c>
      <c r="T26" s="18" t="s">
        <v>539</v>
      </c>
      <c r="U26" s="18" t="s">
        <v>455</v>
      </c>
      <c r="V26" s="18" t="s">
        <v>540</v>
      </c>
      <c r="W26" s="18" t="s">
        <v>541</v>
      </c>
      <c r="X26" s="18" t="s">
        <v>542</v>
      </c>
      <c r="Y26" s="18" t="s">
        <v>543</v>
      </c>
      <c r="Z26" s="18" t="s">
        <v>62</v>
      </c>
      <c r="AA26" s="18" t="s">
        <v>62</v>
      </c>
      <c r="AB26" s="18" t="s">
        <v>544</v>
      </c>
      <c r="AC26" s="18" t="s">
        <v>545</v>
      </c>
      <c r="AD26" s="21">
        <f>19100*K26/1000000000</f>
        <v>16415.1090463</v>
      </c>
      <c r="AE26" s="18" t="s">
        <v>546</v>
      </c>
      <c r="AF26" s="18" t="s">
        <v>547</v>
      </c>
      <c r="AG26" s="21">
        <v>-3835.11</v>
      </c>
      <c r="AH26" s="18">
        <v>-966.59</v>
      </c>
      <c r="AI26" s="18" t="s">
        <v>548</v>
      </c>
      <c r="AJ26" s="21">
        <v>13527.01</v>
      </c>
      <c r="AK26" s="18" t="s">
        <v>549</v>
      </c>
      <c r="AL26" s="18" t="s">
        <v>550</v>
      </c>
      <c r="AM26" s="18" t="s">
        <v>551</v>
      </c>
      <c r="AN26" s="18" t="s">
        <v>552</v>
      </c>
      <c r="AO26" s="18">
        <v>-521.80999999999995</v>
      </c>
      <c r="AP26" s="20">
        <v>1910</v>
      </c>
      <c r="AQ26" s="18" t="s">
        <v>553</v>
      </c>
      <c r="AR26" s="18" t="s">
        <v>554</v>
      </c>
      <c r="AS26" s="18" t="s">
        <v>555</v>
      </c>
      <c r="AT26" s="7"/>
    </row>
    <row r="27" spans="1:46" ht="14.25" customHeight="1" x14ac:dyDescent="0.3">
      <c r="A27" s="10">
        <v>6</v>
      </c>
      <c r="B27" s="10" t="s">
        <v>556</v>
      </c>
      <c r="C27" s="10" t="s">
        <v>557</v>
      </c>
      <c r="D27" s="10">
        <v>2020</v>
      </c>
      <c r="E27" s="10" t="s">
        <v>184</v>
      </c>
      <c r="F27" s="10" t="s">
        <v>48</v>
      </c>
      <c r="G27" s="13">
        <f>36.85+0.31+0.01</f>
        <v>37.17</v>
      </c>
      <c r="H27" s="14">
        <v>0</v>
      </c>
      <c r="I27" s="13" t="s">
        <v>558</v>
      </c>
      <c r="J27" s="13" t="s">
        <v>351</v>
      </c>
      <c r="K27" s="13" t="s">
        <v>559</v>
      </c>
      <c r="L27" s="13" t="s">
        <v>560</v>
      </c>
      <c r="M27" s="16" t="s">
        <v>561</v>
      </c>
      <c r="N27" s="16" t="s">
        <v>562</v>
      </c>
      <c r="O27" s="16" t="s">
        <v>563</v>
      </c>
      <c r="P27" s="16">
        <v>1851.24</v>
      </c>
      <c r="Q27" s="13" t="s">
        <v>564</v>
      </c>
      <c r="R27" s="16" t="s">
        <v>455</v>
      </c>
      <c r="S27" s="16">
        <v>-2022.12</v>
      </c>
      <c r="T27" s="13" t="s">
        <v>455</v>
      </c>
      <c r="U27" s="16">
        <f>(61541937+42046510-55173276)/1000000</f>
        <v>48.415171000000001</v>
      </c>
      <c r="V27" s="13" t="s">
        <v>565</v>
      </c>
      <c r="W27" s="13" t="s">
        <v>455</v>
      </c>
      <c r="X27" s="13" t="s">
        <v>455</v>
      </c>
      <c r="Y27" s="13">
        <v>0</v>
      </c>
      <c r="Z27" s="13" t="s">
        <v>333</v>
      </c>
      <c r="AA27" s="13" t="s">
        <v>333</v>
      </c>
      <c r="AB27" s="16">
        <v>2383.34</v>
      </c>
      <c r="AC27" s="13" t="s">
        <v>566</v>
      </c>
      <c r="AD27" s="16">
        <f>5250*K27/1000000000</f>
        <v>4868.8462357500002</v>
      </c>
      <c r="AE27" s="13" t="s">
        <v>567</v>
      </c>
      <c r="AF27" s="16">
        <v>-1764.14</v>
      </c>
      <c r="AG27" s="16">
        <v>-2335.31</v>
      </c>
      <c r="AH27" s="16">
        <v>-1467.64</v>
      </c>
      <c r="AI27" s="13" t="s">
        <v>568</v>
      </c>
      <c r="AJ27" s="16">
        <v>11809.04</v>
      </c>
      <c r="AK27" s="13" t="s">
        <v>569</v>
      </c>
      <c r="AL27" s="13" t="s">
        <v>570</v>
      </c>
      <c r="AM27" s="13" t="s">
        <v>571</v>
      </c>
      <c r="AN27" s="13" t="s">
        <v>572</v>
      </c>
      <c r="AO27" s="13" t="s">
        <v>446</v>
      </c>
      <c r="AP27" s="22">
        <v>-1354</v>
      </c>
      <c r="AQ27" s="13" t="s">
        <v>573</v>
      </c>
      <c r="AR27" s="13" t="s">
        <v>574</v>
      </c>
      <c r="AS27" s="13" t="s">
        <v>418</v>
      </c>
      <c r="AT27" s="13"/>
    </row>
    <row r="28" spans="1:46" ht="14.25" customHeight="1" x14ac:dyDescent="0.3">
      <c r="A28" s="10">
        <v>6</v>
      </c>
      <c r="B28" s="10" t="s">
        <v>556</v>
      </c>
      <c r="C28" s="10" t="s">
        <v>557</v>
      </c>
      <c r="D28" s="10">
        <v>2021</v>
      </c>
      <c r="E28" s="10" t="s">
        <v>184</v>
      </c>
      <c r="F28" s="10" t="s">
        <v>48</v>
      </c>
      <c r="G28" s="14">
        <f>34.5+0.005+0.03+0.01</f>
        <v>34.545000000000002</v>
      </c>
      <c r="H28" s="13" t="s">
        <v>446</v>
      </c>
      <c r="I28" s="13">
        <v>0.82</v>
      </c>
      <c r="J28" s="14">
        <v>0.9</v>
      </c>
      <c r="K28" s="13" t="s">
        <v>559</v>
      </c>
      <c r="L28" s="13" t="s">
        <v>575</v>
      </c>
      <c r="M28" s="16" t="s">
        <v>576</v>
      </c>
      <c r="N28" s="16" t="s">
        <v>577</v>
      </c>
      <c r="O28" s="16" t="s">
        <v>578</v>
      </c>
      <c r="P28" s="16" t="s">
        <v>579</v>
      </c>
      <c r="Q28" s="13" t="s">
        <v>580</v>
      </c>
      <c r="R28" s="16" t="s">
        <v>455</v>
      </c>
      <c r="S28" s="13" t="s">
        <v>581</v>
      </c>
      <c r="T28" s="13" t="s">
        <v>455</v>
      </c>
      <c r="U28" s="16">
        <f>(315571923+55327304-55173276)/1000000</f>
        <v>315.72595100000001</v>
      </c>
      <c r="V28" s="13" t="s">
        <v>582</v>
      </c>
      <c r="W28" s="13" t="s">
        <v>455</v>
      </c>
      <c r="X28" s="13" t="s">
        <v>455</v>
      </c>
      <c r="Y28" s="13">
        <v>0</v>
      </c>
      <c r="Z28" s="13" t="s">
        <v>333</v>
      </c>
      <c r="AA28" s="13" t="s">
        <v>333</v>
      </c>
      <c r="AB28" s="13" t="s">
        <v>583</v>
      </c>
      <c r="AC28" s="13" t="s">
        <v>584</v>
      </c>
      <c r="AD28" s="16">
        <f>13300*K28/1000000000</f>
        <v>12334.4104639</v>
      </c>
      <c r="AE28" s="13" t="s">
        <v>585</v>
      </c>
      <c r="AF28" s="13">
        <v>-640.28</v>
      </c>
      <c r="AG28" s="16">
        <v>-1215.68</v>
      </c>
      <c r="AH28" s="13" t="s">
        <v>586</v>
      </c>
      <c r="AI28" s="13" t="s">
        <v>587</v>
      </c>
      <c r="AJ28" s="16">
        <v>7011.95</v>
      </c>
      <c r="AK28" s="13" t="s">
        <v>588</v>
      </c>
      <c r="AL28" s="13" t="s">
        <v>589</v>
      </c>
      <c r="AM28" s="13">
        <v>-33.97</v>
      </c>
      <c r="AN28" s="13" t="s">
        <v>590</v>
      </c>
      <c r="AO28" s="13" t="s">
        <v>446</v>
      </c>
      <c r="AP28" s="13" t="s">
        <v>591</v>
      </c>
      <c r="AQ28" s="22">
        <v>1753</v>
      </c>
      <c r="AR28" s="13" t="s">
        <v>592</v>
      </c>
      <c r="AS28" s="13" t="s">
        <v>442</v>
      </c>
      <c r="AT28" s="13"/>
    </row>
    <row r="29" spans="1:46" ht="14.25" customHeight="1" x14ac:dyDescent="0.3">
      <c r="A29" s="10">
        <v>6</v>
      </c>
      <c r="B29" s="10" t="s">
        <v>556</v>
      </c>
      <c r="C29" s="10" t="s">
        <v>557</v>
      </c>
      <c r="D29" s="10">
        <v>2022</v>
      </c>
      <c r="E29" s="10" t="s">
        <v>184</v>
      </c>
      <c r="F29" s="10" t="s">
        <v>48</v>
      </c>
      <c r="G29" s="13" t="s">
        <v>593</v>
      </c>
      <c r="H29" s="13" t="s">
        <v>446</v>
      </c>
      <c r="I29" s="13">
        <v>0.42</v>
      </c>
      <c r="J29" s="13">
        <v>2.78</v>
      </c>
      <c r="K29" s="13" t="s">
        <v>559</v>
      </c>
      <c r="L29" s="16">
        <f>5197982826/1000000</f>
        <v>5197.9828260000004</v>
      </c>
      <c r="M29" s="16" t="s">
        <v>594</v>
      </c>
      <c r="N29" s="16" t="s">
        <v>595</v>
      </c>
      <c r="O29" s="16" t="s">
        <v>596</v>
      </c>
      <c r="P29" s="16">
        <v>1349.89</v>
      </c>
      <c r="Q29" s="13" t="s">
        <v>597</v>
      </c>
      <c r="R29" s="13" t="s">
        <v>455</v>
      </c>
      <c r="S29" s="13" t="s">
        <v>598</v>
      </c>
      <c r="T29" s="13" t="s">
        <v>455</v>
      </c>
      <c r="U29" s="16">
        <f>(850801577+53467217-55327304)/1000000</f>
        <v>848.94149000000004</v>
      </c>
      <c r="V29" s="13" t="s">
        <v>599</v>
      </c>
      <c r="W29" s="13" t="s">
        <v>455</v>
      </c>
      <c r="X29" s="13" t="s">
        <v>455</v>
      </c>
      <c r="Y29" s="13">
        <v>0</v>
      </c>
      <c r="Z29" s="13" t="s">
        <v>62</v>
      </c>
      <c r="AA29" s="13" t="s">
        <v>62</v>
      </c>
      <c r="AB29" s="13" t="s">
        <v>600</v>
      </c>
      <c r="AC29" s="13" t="s">
        <v>601</v>
      </c>
      <c r="AD29" s="16">
        <f>9160*K29/1000000000</f>
        <v>8494.9774322800004</v>
      </c>
      <c r="AE29" s="13" t="s">
        <v>602</v>
      </c>
      <c r="AF29" s="13" t="s">
        <v>603</v>
      </c>
      <c r="AG29" s="13">
        <v>-544.32000000000005</v>
      </c>
      <c r="AH29" s="13" t="s">
        <v>604</v>
      </c>
      <c r="AI29" s="13" t="s">
        <v>587</v>
      </c>
      <c r="AJ29" s="16">
        <v>5385.58</v>
      </c>
      <c r="AK29" s="13" t="s">
        <v>605</v>
      </c>
      <c r="AL29" s="13" t="s">
        <v>606</v>
      </c>
      <c r="AM29" s="13" t="s">
        <v>607</v>
      </c>
      <c r="AN29" s="13" t="s">
        <v>590</v>
      </c>
      <c r="AO29" s="13" t="s">
        <v>446</v>
      </c>
      <c r="AP29" s="13" t="s">
        <v>608</v>
      </c>
      <c r="AQ29" s="13" t="s">
        <v>609</v>
      </c>
      <c r="AR29" s="13" t="s">
        <v>610</v>
      </c>
      <c r="AS29" s="13" t="s">
        <v>611</v>
      </c>
      <c r="AT29" s="13"/>
    </row>
    <row r="30" spans="1:46" ht="14.25" customHeight="1" x14ac:dyDescent="0.3">
      <c r="A30" s="10">
        <v>6</v>
      </c>
      <c r="B30" s="10" t="s">
        <v>556</v>
      </c>
      <c r="C30" s="10" t="s">
        <v>557</v>
      </c>
      <c r="D30" s="10">
        <v>2023</v>
      </c>
      <c r="E30" s="10" t="s">
        <v>184</v>
      </c>
      <c r="F30" s="10" t="s">
        <v>48</v>
      </c>
      <c r="G30" s="13" t="s">
        <v>593</v>
      </c>
      <c r="H30" s="13" t="s">
        <v>446</v>
      </c>
      <c r="I30" s="13" t="s">
        <v>612</v>
      </c>
      <c r="J30" s="13" t="s">
        <v>613</v>
      </c>
      <c r="K30" s="13" t="s">
        <v>559</v>
      </c>
      <c r="L30" s="13" t="s">
        <v>614</v>
      </c>
      <c r="M30" s="16" t="s">
        <v>615</v>
      </c>
      <c r="N30" s="16" t="s">
        <v>616</v>
      </c>
      <c r="O30" s="16" t="s">
        <v>617</v>
      </c>
      <c r="P30" s="16" t="s">
        <v>618</v>
      </c>
      <c r="Q30" s="13" t="s">
        <v>619</v>
      </c>
      <c r="R30" s="13" t="s">
        <v>455</v>
      </c>
      <c r="S30" s="13" t="s">
        <v>620</v>
      </c>
      <c r="T30" s="13" t="s">
        <v>455</v>
      </c>
      <c r="U30" s="16">
        <f>(1094450783+16560736-53467217)/1000000</f>
        <v>1057.544302</v>
      </c>
      <c r="V30" s="13" t="s">
        <v>621</v>
      </c>
      <c r="W30" s="13" t="s">
        <v>455</v>
      </c>
      <c r="X30" s="13" t="s">
        <v>455</v>
      </c>
      <c r="Y30" s="13">
        <v>0</v>
      </c>
      <c r="Z30" s="13" t="s">
        <v>62</v>
      </c>
      <c r="AA30" s="13" t="s">
        <v>62</v>
      </c>
      <c r="AB30" s="13" t="s">
        <v>622</v>
      </c>
      <c r="AC30" s="13" t="s">
        <v>623</v>
      </c>
      <c r="AD30" s="16">
        <f>13200*K30/1000000000</f>
        <v>12241.6705356</v>
      </c>
      <c r="AE30" s="13" t="s">
        <v>624</v>
      </c>
      <c r="AF30" s="13" t="s">
        <v>625</v>
      </c>
      <c r="AG30" s="13">
        <v>-614.17999999999995</v>
      </c>
      <c r="AH30" s="13" t="s">
        <v>626</v>
      </c>
      <c r="AI30" s="13" t="s">
        <v>627</v>
      </c>
      <c r="AJ30" s="16">
        <v>4515.38</v>
      </c>
      <c r="AK30" s="13" t="s">
        <v>628</v>
      </c>
      <c r="AL30" s="13" t="s">
        <v>629</v>
      </c>
      <c r="AM30" s="13" t="s">
        <v>630</v>
      </c>
      <c r="AN30" s="13" t="s">
        <v>631</v>
      </c>
      <c r="AO30" s="13" t="s">
        <v>446</v>
      </c>
      <c r="AP30" s="13" t="s">
        <v>632</v>
      </c>
      <c r="AQ30" s="13" t="s">
        <v>633</v>
      </c>
      <c r="AR30" s="13" t="s">
        <v>634</v>
      </c>
      <c r="AS30" s="13" t="s">
        <v>635</v>
      </c>
      <c r="AT30" s="13"/>
    </row>
    <row r="31" spans="1:46" ht="14.25" customHeight="1" x14ac:dyDescent="0.3">
      <c r="A31" s="10">
        <v>6</v>
      </c>
      <c r="B31" s="10" t="s">
        <v>556</v>
      </c>
      <c r="C31" s="10" t="s">
        <v>557</v>
      </c>
      <c r="D31" s="10">
        <v>2024</v>
      </c>
      <c r="E31" s="10" t="s">
        <v>184</v>
      </c>
      <c r="F31" s="10" t="s">
        <v>48</v>
      </c>
      <c r="G31" s="13" t="s">
        <v>636</v>
      </c>
      <c r="H31" s="13" t="s">
        <v>446</v>
      </c>
      <c r="I31" s="13" t="s">
        <v>637</v>
      </c>
      <c r="J31" s="13" t="s">
        <v>638</v>
      </c>
      <c r="K31" s="13" t="s">
        <v>639</v>
      </c>
      <c r="L31" s="13" t="s">
        <v>640</v>
      </c>
      <c r="M31" s="16" t="s">
        <v>641</v>
      </c>
      <c r="N31" s="16" t="s">
        <v>642</v>
      </c>
      <c r="O31" s="16" t="s">
        <v>643</v>
      </c>
      <c r="P31" s="16" t="s">
        <v>644</v>
      </c>
      <c r="Q31" s="13" t="s">
        <v>645</v>
      </c>
      <c r="R31" s="13" t="s">
        <v>455</v>
      </c>
      <c r="S31" s="13" t="s">
        <v>646</v>
      </c>
      <c r="T31" s="13" t="s">
        <v>455</v>
      </c>
      <c r="U31" s="16">
        <f>(541306755+60141005-16560736)/1000000</f>
        <v>584.887024</v>
      </c>
      <c r="V31" s="13" t="s">
        <v>647</v>
      </c>
      <c r="W31" s="13" t="s">
        <v>455</v>
      </c>
      <c r="X31" s="13" t="s">
        <v>455</v>
      </c>
      <c r="Y31" s="13">
        <v>0</v>
      </c>
      <c r="Z31" s="13" t="s">
        <v>62</v>
      </c>
      <c r="AA31" s="13" t="s">
        <v>62</v>
      </c>
      <c r="AB31" s="13" t="s">
        <v>648</v>
      </c>
      <c r="AC31" s="13" t="s">
        <v>649</v>
      </c>
      <c r="AD31" s="16">
        <f>12050*K31/1000000000</f>
        <v>12741.661360149999</v>
      </c>
      <c r="AE31" s="13" t="s">
        <v>650</v>
      </c>
      <c r="AF31" s="13">
        <v>-782.78</v>
      </c>
      <c r="AG31" s="13">
        <v>-793.84</v>
      </c>
      <c r="AH31" s="13" t="s">
        <v>651</v>
      </c>
      <c r="AI31" s="13" t="s">
        <v>652</v>
      </c>
      <c r="AJ31" s="16">
        <v>1832.35</v>
      </c>
      <c r="AK31" s="13" t="s">
        <v>653</v>
      </c>
      <c r="AL31" s="13" t="s">
        <v>654</v>
      </c>
      <c r="AM31" s="13">
        <v>-10.23</v>
      </c>
      <c r="AN31" s="13" t="s">
        <v>655</v>
      </c>
      <c r="AO31" s="13" t="s">
        <v>446</v>
      </c>
      <c r="AP31" s="13" t="s">
        <v>656</v>
      </c>
      <c r="AQ31" s="22">
        <v>1756</v>
      </c>
      <c r="AR31" s="13" t="s">
        <v>657</v>
      </c>
      <c r="AS31" s="13" t="s">
        <v>658</v>
      </c>
      <c r="AT31" s="13"/>
    </row>
    <row r="32" spans="1:46" ht="14.25" customHeight="1" x14ac:dyDescent="0.3">
      <c r="A32" s="4">
        <v>7</v>
      </c>
      <c r="B32" s="4" t="s">
        <v>659</v>
      </c>
      <c r="C32" s="4" t="s">
        <v>660</v>
      </c>
      <c r="D32" s="4">
        <v>2020</v>
      </c>
      <c r="E32" s="4" t="s">
        <v>661</v>
      </c>
      <c r="F32" s="4" t="s">
        <v>48</v>
      </c>
      <c r="G32" s="23">
        <v>36</v>
      </c>
      <c r="H32" s="23">
        <v>0</v>
      </c>
      <c r="I32" s="23">
        <v>24</v>
      </c>
      <c r="J32" s="23">
        <v>30</v>
      </c>
      <c r="K32" s="24">
        <v>3313282659</v>
      </c>
      <c r="L32" s="23">
        <v>91279.041771826</v>
      </c>
      <c r="M32" s="23">
        <v>90119</v>
      </c>
      <c r="N32" s="23">
        <v>131511</v>
      </c>
      <c r="O32" s="23">
        <v>1091</v>
      </c>
      <c r="P32" s="25">
        <v>690</v>
      </c>
      <c r="Q32" s="4">
        <v>253.83</v>
      </c>
      <c r="R32" s="23">
        <v>15325.475207739</v>
      </c>
      <c r="S32" s="23">
        <v>15292</v>
      </c>
      <c r="T32" s="23">
        <v>11876.280307409999</v>
      </c>
      <c r="U32" s="23">
        <v>496.154920463</v>
      </c>
      <c r="V32" s="23">
        <v>2355.2429402550001</v>
      </c>
      <c r="W32" s="23">
        <v>7067.8232873659999</v>
      </c>
      <c r="X32" s="25">
        <v>74421.502797084002</v>
      </c>
      <c r="Y32" s="24">
        <v>0</v>
      </c>
      <c r="Z32" s="4">
        <v>1</v>
      </c>
      <c r="AA32" s="4">
        <v>1</v>
      </c>
      <c r="AB32" s="23">
        <v>13506</v>
      </c>
      <c r="AC32" s="23">
        <v>59220</v>
      </c>
      <c r="AD32" s="23">
        <v>137335.5662</v>
      </c>
      <c r="AE32" s="23">
        <v>72292</v>
      </c>
      <c r="AF32" s="23">
        <v>11587.249912974001</v>
      </c>
      <c r="AG32" s="23">
        <v>11915.645555048</v>
      </c>
      <c r="AH32" s="23">
        <v>-18495.398244903001</v>
      </c>
      <c r="AI32" s="23">
        <v>13696</v>
      </c>
      <c r="AJ32" s="23">
        <v>20316</v>
      </c>
      <c r="AK32" s="23">
        <v>56747</v>
      </c>
      <c r="AL32" s="23">
        <v>51975.217447497998</v>
      </c>
      <c r="AM32" s="23">
        <f>(90118503426717-63658192673791)/63658192673791</f>
        <v>0.41566229956478318</v>
      </c>
      <c r="AN32" s="23">
        <v>26287</v>
      </c>
      <c r="AO32" s="23">
        <v>-1419.4737487560001</v>
      </c>
      <c r="AP32" s="23">
        <v>4506.59</v>
      </c>
      <c r="AQ32" s="26">
        <v>25428</v>
      </c>
      <c r="AR32" s="23">
        <v>65308</v>
      </c>
      <c r="AS32" s="4">
        <v>28</v>
      </c>
      <c r="AT32" s="4"/>
    </row>
    <row r="33" spans="1:46" ht="14.25" customHeight="1" x14ac:dyDescent="0.3">
      <c r="A33" s="4">
        <v>7</v>
      </c>
      <c r="B33" s="4" t="s">
        <v>659</v>
      </c>
      <c r="C33" s="4" t="s">
        <v>660</v>
      </c>
      <c r="D33" s="4">
        <v>2021</v>
      </c>
      <c r="E33" s="4" t="s">
        <v>661</v>
      </c>
      <c r="F33" s="4" t="s">
        <v>48</v>
      </c>
      <c r="G33" s="23">
        <v>35</v>
      </c>
      <c r="H33" s="23">
        <v>0</v>
      </c>
      <c r="I33" s="23">
        <v>28</v>
      </c>
      <c r="J33" s="23">
        <v>26</v>
      </c>
      <c r="K33" s="24">
        <v>4472922706</v>
      </c>
      <c r="L33" s="23">
        <v>150865.3599672</v>
      </c>
      <c r="M33" s="23">
        <v>149680</v>
      </c>
      <c r="N33" s="23">
        <v>178236</v>
      </c>
      <c r="O33" s="23">
        <v>2120</v>
      </c>
      <c r="P33" s="23">
        <v>1324</v>
      </c>
      <c r="Q33" s="25">
        <v>537</v>
      </c>
      <c r="R33" s="23">
        <v>22001.885712747</v>
      </c>
      <c r="S33" s="23">
        <v>37008</v>
      </c>
      <c r="T33" s="23">
        <v>19939.178885669</v>
      </c>
      <c r="U33" s="23">
        <v>1127.956910057</v>
      </c>
      <c r="V33" s="23">
        <v>3043.0965893980001</v>
      </c>
      <c r="W33" s="23">
        <v>11779.49468252</v>
      </c>
      <c r="X33" s="25">
        <v>117915.382199713</v>
      </c>
      <c r="Y33" s="24">
        <v>0</v>
      </c>
      <c r="Z33" s="4">
        <v>1</v>
      </c>
      <c r="AA33" s="4">
        <v>1</v>
      </c>
      <c r="AB33" s="23">
        <v>34521</v>
      </c>
      <c r="AC33" s="23">
        <v>90781</v>
      </c>
      <c r="AD33" s="23">
        <v>207543.61360000001</v>
      </c>
      <c r="AE33" s="23">
        <v>87456</v>
      </c>
      <c r="AF33" s="23">
        <v>26720.913303107998</v>
      </c>
      <c r="AG33" s="23">
        <v>11621.470092371001</v>
      </c>
      <c r="AH33" s="23">
        <v>-19669.452763006</v>
      </c>
      <c r="AI33" s="23">
        <v>22471</v>
      </c>
      <c r="AJ33" s="23">
        <v>13996</v>
      </c>
      <c r="AK33" s="23">
        <v>94155</v>
      </c>
      <c r="AL33" s="23">
        <v>73459.315876441004</v>
      </c>
      <c r="AM33" s="25">
        <f>(149679789979345-90118503426717)/90118503426717</f>
        <v>0.66092183389465997</v>
      </c>
      <c r="AN33" s="23">
        <v>42134</v>
      </c>
      <c r="AO33" s="23">
        <v>-1693.0866479690001</v>
      </c>
      <c r="AP33" s="23">
        <v>8630</v>
      </c>
      <c r="AQ33" s="27">
        <v>27651</v>
      </c>
      <c r="AR33" s="23">
        <v>68744</v>
      </c>
      <c r="AS33" s="24">
        <v>29</v>
      </c>
      <c r="AT33" s="24"/>
    </row>
    <row r="34" spans="1:46" ht="14.25" customHeight="1" x14ac:dyDescent="0.3">
      <c r="A34" s="4">
        <v>7</v>
      </c>
      <c r="B34" s="4" t="s">
        <v>659</v>
      </c>
      <c r="C34" s="4" t="s">
        <v>660</v>
      </c>
      <c r="D34" s="4">
        <v>2022</v>
      </c>
      <c r="E34" s="4" t="s">
        <v>661</v>
      </c>
      <c r="F34" s="4" t="s">
        <v>48</v>
      </c>
      <c r="G34" s="23">
        <v>35</v>
      </c>
      <c r="H34" s="23">
        <v>0</v>
      </c>
      <c r="I34" s="23">
        <v>31</v>
      </c>
      <c r="J34" s="23">
        <v>23</v>
      </c>
      <c r="K34" s="24">
        <v>5814785700</v>
      </c>
      <c r="L34" s="23">
        <v>142770.810676858</v>
      </c>
      <c r="M34" s="23">
        <v>141409</v>
      </c>
      <c r="N34" s="23">
        <v>170336</v>
      </c>
      <c r="O34" s="23">
        <v>2666</v>
      </c>
      <c r="P34" s="23">
        <v>1019</v>
      </c>
      <c r="Q34" s="25">
        <v>634</v>
      </c>
      <c r="R34" s="23">
        <v>22522.420269399001</v>
      </c>
      <c r="S34" s="23">
        <v>9794</v>
      </c>
      <c r="T34" s="23">
        <v>16409.046019836002</v>
      </c>
      <c r="U34" s="23">
        <v>1864.2332230649999</v>
      </c>
      <c r="V34" s="23">
        <v>3371.5060197470002</v>
      </c>
      <c r="W34" s="23">
        <v>12103.510397646</v>
      </c>
      <c r="X34" s="25">
        <v>125469.99579563701</v>
      </c>
      <c r="Y34" s="24">
        <v>0</v>
      </c>
      <c r="Z34" s="4">
        <v>1</v>
      </c>
      <c r="AA34" s="4">
        <v>1</v>
      </c>
      <c r="AB34" s="23">
        <v>8444</v>
      </c>
      <c r="AC34" s="23">
        <v>96113</v>
      </c>
      <c r="AD34" s="23">
        <v>104666.14260000001</v>
      </c>
      <c r="AE34" s="23">
        <v>74223</v>
      </c>
      <c r="AF34" s="23">
        <v>12277.636676507</v>
      </c>
      <c r="AG34" s="23">
        <v>17887.504647035999</v>
      </c>
      <c r="AH34" s="23">
        <v>-24626.212744552999</v>
      </c>
      <c r="AI34" s="23">
        <v>8325</v>
      </c>
      <c r="AJ34" s="23">
        <v>11837</v>
      </c>
      <c r="AK34" s="23">
        <v>80515</v>
      </c>
      <c r="AL34" s="23">
        <v>62385.392809685</v>
      </c>
      <c r="AM34" s="25">
        <v>-5.5300000000000002E-2</v>
      </c>
      <c r="AN34" s="23">
        <v>34491</v>
      </c>
      <c r="AO34" s="23">
        <v>-2261.4595432410001</v>
      </c>
      <c r="AP34" s="23">
        <v>1636.39</v>
      </c>
      <c r="AQ34" s="26">
        <v>28535</v>
      </c>
      <c r="AR34" s="23">
        <v>70199</v>
      </c>
      <c r="AS34" s="24">
        <v>30</v>
      </c>
      <c r="AT34" s="24"/>
    </row>
    <row r="35" spans="1:46" ht="14.25" customHeight="1" x14ac:dyDescent="0.3">
      <c r="A35" s="4">
        <v>7</v>
      </c>
      <c r="B35" s="4" t="s">
        <v>659</v>
      </c>
      <c r="C35" s="4" t="s">
        <v>660</v>
      </c>
      <c r="D35" s="4">
        <v>2023</v>
      </c>
      <c r="E35" s="4" t="s">
        <v>661</v>
      </c>
      <c r="F35" s="4" t="s">
        <v>48</v>
      </c>
      <c r="G35" s="23">
        <v>34</v>
      </c>
      <c r="H35" s="23">
        <v>0</v>
      </c>
      <c r="I35" s="23">
        <v>30</v>
      </c>
      <c r="J35" s="23">
        <v>25</v>
      </c>
      <c r="K35" s="24">
        <v>5814785700</v>
      </c>
      <c r="L35" s="23">
        <v>120355.231616139</v>
      </c>
      <c r="M35" s="23">
        <v>118953</v>
      </c>
      <c r="N35" s="23">
        <v>187783</v>
      </c>
      <c r="O35" s="23">
        <v>1961</v>
      </c>
      <c r="P35" s="23">
        <v>1307</v>
      </c>
      <c r="Q35" s="25">
        <v>211</v>
      </c>
      <c r="R35" s="23">
        <v>18884.899188615</v>
      </c>
      <c r="S35" s="23">
        <v>7651</v>
      </c>
      <c r="T35" s="23">
        <v>15440.615820401001</v>
      </c>
      <c r="U35" s="23">
        <v>570.68888105300005</v>
      </c>
      <c r="V35" s="23">
        <v>3356.8427538390001</v>
      </c>
      <c r="W35" s="23">
        <v>8584.2099241819997</v>
      </c>
      <c r="X35" s="25">
        <v>105583.373203878</v>
      </c>
      <c r="Y35" s="24">
        <v>0</v>
      </c>
      <c r="Z35" s="4">
        <v>1</v>
      </c>
      <c r="AA35" s="4">
        <v>1</v>
      </c>
      <c r="AB35" s="23">
        <v>6800</v>
      </c>
      <c r="AC35" s="23">
        <v>102836</v>
      </c>
      <c r="AD35" s="23">
        <v>162523.26029999999</v>
      </c>
      <c r="AE35" s="23">
        <v>84946</v>
      </c>
      <c r="AF35" s="23">
        <v>8643.0307770260006</v>
      </c>
      <c r="AG35" s="23">
        <v>17373.946475964</v>
      </c>
      <c r="AH35" s="23">
        <v>-11995.089522267001</v>
      </c>
      <c r="AI35" s="23">
        <v>12252</v>
      </c>
      <c r="AJ35" s="23">
        <v>13433</v>
      </c>
      <c r="AK35" s="23">
        <v>82716</v>
      </c>
      <c r="AL35" s="23">
        <v>71513.492904732993</v>
      </c>
      <c r="AM35" s="25">
        <v>-0.1588</v>
      </c>
      <c r="AN35" s="23">
        <v>34504</v>
      </c>
      <c r="AO35" s="23">
        <v>-8.0137946319999998</v>
      </c>
      <c r="AP35" s="23">
        <v>1175.46</v>
      </c>
      <c r="AQ35" s="27">
        <v>28938</v>
      </c>
      <c r="AR35" s="23">
        <v>71787</v>
      </c>
      <c r="AS35" s="24">
        <v>31</v>
      </c>
      <c r="AT35" s="24"/>
    </row>
    <row r="36" spans="1:46" ht="14.25" customHeight="1" x14ac:dyDescent="0.3">
      <c r="A36" s="4">
        <v>7</v>
      </c>
      <c r="B36" s="4" t="s">
        <v>659</v>
      </c>
      <c r="C36" s="4" t="s">
        <v>660</v>
      </c>
      <c r="D36" s="4">
        <v>2024</v>
      </c>
      <c r="E36" s="4" t="s">
        <v>661</v>
      </c>
      <c r="F36" s="4" t="s">
        <v>48</v>
      </c>
      <c r="G36" s="23">
        <v>34</v>
      </c>
      <c r="H36" s="23">
        <v>0</v>
      </c>
      <c r="I36" s="23">
        <v>34</v>
      </c>
      <c r="J36" s="23">
        <v>21</v>
      </c>
      <c r="K36" s="24">
        <v>6396250200</v>
      </c>
      <c r="L36" s="23">
        <v>140561.387448572</v>
      </c>
      <c r="M36" s="23">
        <v>138855</v>
      </c>
      <c r="N36" s="23">
        <v>224490</v>
      </c>
      <c r="O36" s="23">
        <v>2337</v>
      </c>
      <c r="P36" s="23">
        <v>1546</v>
      </c>
      <c r="Q36" s="25">
        <v>184</v>
      </c>
      <c r="R36" s="23">
        <v>22997.674745095999</v>
      </c>
      <c r="S36" s="23">
        <v>13267</v>
      </c>
      <c r="T36" s="23">
        <v>20324.528389775998</v>
      </c>
      <c r="U36" s="23">
        <v>673.70490466199999</v>
      </c>
      <c r="V36" s="23">
        <v>4048.5700916139999</v>
      </c>
      <c r="W36" s="23">
        <v>11426.590927560001</v>
      </c>
      <c r="X36" s="25">
        <v>129179.016479274</v>
      </c>
      <c r="Y36" s="24">
        <v>0</v>
      </c>
      <c r="Z36" s="4">
        <v>1</v>
      </c>
      <c r="AA36" s="4">
        <v>1</v>
      </c>
      <c r="AB36" s="23">
        <v>12020</v>
      </c>
      <c r="AC36" s="23">
        <v>114647</v>
      </c>
      <c r="AD36" s="23">
        <v>171099.69289999999</v>
      </c>
      <c r="AE36" s="23">
        <v>109842</v>
      </c>
      <c r="AF36" s="23">
        <v>6608.3206552150004</v>
      </c>
      <c r="AG36" s="23">
        <v>35495.026797327002</v>
      </c>
      <c r="AH36" s="23">
        <v>-29788.138252448</v>
      </c>
      <c r="AI36" s="23">
        <v>6888</v>
      </c>
      <c r="AJ36" s="23">
        <v>34617</v>
      </c>
      <c r="AK36" s="23">
        <v>86674</v>
      </c>
      <c r="AL36" s="23">
        <v>75225.243262688993</v>
      </c>
      <c r="AM36" s="25">
        <v>0.1673</v>
      </c>
      <c r="AN36" s="23">
        <v>46091</v>
      </c>
      <c r="AO36" s="23">
        <v>-4.9710108909999997</v>
      </c>
      <c r="AP36" s="23">
        <v>1951.11</v>
      </c>
      <c r="AQ36" s="26">
        <v>32780</v>
      </c>
      <c r="AR36" s="23">
        <v>67244</v>
      </c>
      <c r="AS36" s="24">
        <v>32</v>
      </c>
      <c r="AT36" s="24"/>
    </row>
    <row r="37" spans="1:46" ht="14.25" customHeight="1" x14ac:dyDescent="0.3">
      <c r="A37" s="10">
        <v>8</v>
      </c>
      <c r="B37" s="10" t="s">
        <v>662</v>
      </c>
      <c r="C37" s="10" t="s">
        <v>663</v>
      </c>
      <c r="D37" s="10">
        <v>2020</v>
      </c>
      <c r="E37" s="10" t="s">
        <v>661</v>
      </c>
      <c r="F37" s="10" t="s">
        <v>48</v>
      </c>
      <c r="G37" s="17">
        <v>17.350000000000001</v>
      </c>
      <c r="H37" s="17" t="s">
        <v>446</v>
      </c>
      <c r="I37" s="17">
        <v>10.82</v>
      </c>
      <c r="J37" s="17" t="s">
        <v>664</v>
      </c>
      <c r="K37" s="17" t="s">
        <v>665</v>
      </c>
      <c r="L37" s="28">
        <v>27765.15</v>
      </c>
      <c r="M37" s="17" t="s">
        <v>666</v>
      </c>
      <c r="N37" s="17" t="s">
        <v>667</v>
      </c>
      <c r="O37" s="28">
        <v>2221.08</v>
      </c>
      <c r="P37" s="17">
        <v>459.98</v>
      </c>
      <c r="Q37" s="17">
        <v>220.16</v>
      </c>
      <c r="R37" s="28">
        <v>3872.1</v>
      </c>
      <c r="S37" s="17" t="s">
        <v>668</v>
      </c>
      <c r="T37" s="17" t="s">
        <v>669</v>
      </c>
      <c r="U37" s="28">
        <v>12672.46</v>
      </c>
      <c r="V37" s="28">
        <v>1.65</v>
      </c>
      <c r="W37" s="17" t="s">
        <v>670</v>
      </c>
      <c r="X37" s="28">
        <f>19535.33+1433.79+1229.76+1794.83+847.51</f>
        <v>24841.219999999998</v>
      </c>
      <c r="Y37" s="17">
        <v>0</v>
      </c>
      <c r="Z37" s="17" t="s">
        <v>62</v>
      </c>
      <c r="AA37" s="17" t="s">
        <v>62</v>
      </c>
      <c r="AB37" s="28">
        <v>1153.01</v>
      </c>
      <c r="AC37" s="17" t="s">
        <v>671</v>
      </c>
      <c r="AD37" s="28">
        <f>K37*22150/1000000000</f>
        <v>9848.4484679500001</v>
      </c>
      <c r="AE37" s="17" t="s">
        <v>672</v>
      </c>
      <c r="AF37" s="28">
        <v>2109.52</v>
      </c>
      <c r="AG37" s="28">
        <v>398.14</v>
      </c>
      <c r="AH37" s="17">
        <v>-310.77999999999997</v>
      </c>
      <c r="AI37" s="17">
        <v>574.77</v>
      </c>
      <c r="AJ37" s="28">
        <v>2174.1799999999998</v>
      </c>
      <c r="AK37" s="28">
        <v>9022.31</v>
      </c>
      <c r="AL37" s="17" t="s">
        <v>673</v>
      </c>
      <c r="AM37" s="28">
        <f>(M37-28034.77)/28034.77</f>
        <v>-1.7978388979114166E-2</v>
      </c>
      <c r="AN37" s="17" t="s">
        <v>674</v>
      </c>
      <c r="AO37" s="28">
        <f>-22299100/1000000000</f>
        <v>-2.2299099999999999E-2</v>
      </c>
      <c r="AP37" s="29">
        <v>2265</v>
      </c>
      <c r="AQ37" s="17" t="s">
        <v>675</v>
      </c>
      <c r="AR37" s="28">
        <v>7262.43</v>
      </c>
      <c r="AS37" s="17" t="s">
        <v>676</v>
      </c>
      <c r="AT37" s="17"/>
    </row>
    <row r="38" spans="1:46" ht="14.25" customHeight="1" x14ac:dyDescent="0.3">
      <c r="A38" s="10">
        <v>8</v>
      </c>
      <c r="B38" s="10" t="s">
        <v>662</v>
      </c>
      <c r="C38" s="10" t="s">
        <v>663</v>
      </c>
      <c r="D38" s="10">
        <v>2021</v>
      </c>
      <c r="E38" s="10" t="s">
        <v>661</v>
      </c>
      <c r="F38" s="10" t="s">
        <v>48</v>
      </c>
      <c r="G38" s="17">
        <v>17.77</v>
      </c>
      <c r="H38" s="17" t="s">
        <v>446</v>
      </c>
      <c r="I38" s="17">
        <v>4.41</v>
      </c>
      <c r="J38" s="17">
        <v>8.2100000000000009</v>
      </c>
      <c r="K38" s="17" t="s">
        <v>677</v>
      </c>
      <c r="L38" s="17" t="s">
        <v>678</v>
      </c>
      <c r="M38" s="17" t="s">
        <v>679</v>
      </c>
      <c r="N38" s="17" t="s">
        <v>680</v>
      </c>
      <c r="O38" s="28">
        <v>3344.49</v>
      </c>
      <c r="P38" s="17">
        <v>425.82</v>
      </c>
      <c r="Q38" s="17">
        <v>219.51</v>
      </c>
      <c r="R38" s="28">
        <v>5525.45</v>
      </c>
      <c r="S38" s="17" t="s">
        <v>681</v>
      </c>
      <c r="T38" s="17" t="s">
        <v>682</v>
      </c>
      <c r="U38" s="28">
        <f>22971222896369/1000000000</f>
        <v>22971.222896368999</v>
      </c>
      <c r="V38" s="28">
        <v>0</v>
      </c>
      <c r="W38" s="17" t="s">
        <v>683</v>
      </c>
      <c r="X38" s="28">
        <v>48759.040000000001</v>
      </c>
      <c r="Y38" s="17">
        <v>0</v>
      </c>
      <c r="Z38" s="17" t="s">
        <v>333</v>
      </c>
      <c r="AA38" s="17" t="s">
        <v>333</v>
      </c>
      <c r="AB38" s="17" t="s">
        <v>684</v>
      </c>
      <c r="AC38" s="17" t="s">
        <v>685</v>
      </c>
      <c r="AD38" s="28">
        <f>37400*K38/1000000000</f>
        <v>18456.2229104</v>
      </c>
      <c r="AE38" s="17" t="s">
        <v>686</v>
      </c>
      <c r="AF38" s="28">
        <v>1496.08</v>
      </c>
      <c r="AG38" s="28">
        <v>476.86</v>
      </c>
      <c r="AH38" s="17">
        <v>-295.66000000000003</v>
      </c>
      <c r="AI38" s="17" t="s">
        <v>687</v>
      </c>
      <c r="AJ38" s="28">
        <v>1413.9</v>
      </c>
      <c r="AK38" s="28">
        <v>18655.16</v>
      </c>
      <c r="AL38" s="17" t="s">
        <v>688</v>
      </c>
      <c r="AM38" s="28">
        <f t="shared" ref="AM38:AM41" si="0">(M38-M37)/M37</f>
        <v>0.7698943908175403</v>
      </c>
      <c r="AN38" s="17" t="s">
        <v>689</v>
      </c>
      <c r="AO38" s="28">
        <f>-307131948/1000000000</f>
        <v>-0.30713194799999999</v>
      </c>
      <c r="AP38" s="17" t="s">
        <v>690</v>
      </c>
      <c r="AQ38" s="17" t="s">
        <v>691</v>
      </c>
      <c r="AR38" s="28">
        <v>6442.8</v>
      </c>
      <c r="AS38" s="17" t="s">
        <v>692</v>
      </c>
      <c r="AT38" s="17"/>
    </row>
    <row r="39" spans="1:46" ht="14.25" customHeight="1" x14ac:dyDescent="0.3">
      <c r="A39" s="10">
        <v>8</v>
      </c>
      <c r="B39" s="10" t="s">
        <v>662</v>
      </c>
      <c r="C39" s="10" t="s">
        <v>663</v>
      </c>
      <c r="D39" s="10">
        <v>2022</v>
      </c>
      <c r="E39" s="10" t="s">
        <v>661</v>
      </c>
      <c r="F39" s="10" t="s">
        <v>48</v>
      </c>
      <c r="G39" s="17">
        <v>17.77</v>
      </c>
      <c r="H39" s="17" t="s">
        <v>446</v>
      </c>
      <c r="I39" s="17" t="s">
        <v>693</v>
      </c>
      <c r="J39" s="17" t="s">
        <v>694</v>
      </c>
      <c r="K39" s="17" t="s">
        <v>695</v>
      </c>
      <c r="L39" s="17" t="s">
        <v>696</v>
      </c>
      <c r="M39" s="17" t="s">
        <v>697</v>
      </c>
      <c r="N39" s="17" t="s">
        <v>698</v>
      </c>
      <c r="O39" s="28">
        <v>3832.64</v>
      </c>
      <c r="P39" s="17">
        <v>522.27</v>
      </c>
      <c r="Q39" s="17">
        <v>204.21</v>
      </c>
      <c r="R39" s="28">
        <f>1159.94+3271.11+1168.31</f>
        <v>5599.3600000000006</v>
      </c>
      <c r="S39" s="17" t="s">
        <v>699</v>
      </c>
      <c r="T39" s="28">
        <v>39321.17</v>
      </c>
      <c r="U39" s="28">
        <v>23925.119999999999</v>
      </c>
      <c r="V39" s="28">
        <f>4834046/1000000000</f>
        <v>4.8340459999999998E-3</v>
      </c>
      <c r="W39" s="28">
        <v>3271.11</v>
      </c>
      <c r="X39" s="28">
        <v>58848.55</v>
      </c>
      <c r="Y39" s="17">
        <v>0</v>
      </c>
      <c r="Z39" s="17" t="s">
        <v>333</v>
      </c>
      <c r="AA39" s="17" t="s">
        <v>333</v>
      </c>
      <c r="AB39" s="17">
        <v>251.32</v>
      </c>
      <c r="AC39" s="17" t="s">
        <v>700</v>
      </c>
      <c r="AD39" s="28">
        <f>K39*11550/1000000000</f>
        <v>6907.5350883000001</v>
      </c>
      <c r="AE39" s="17" t="s">
        <v>701</v>
      </c>
      <c r="AF39" s="28">
        <v>2844.56</v>
      </c>
      <c r="AG39" s="28">
        <v>463.43</v>
      </c>
      <c r="AH39" s="17">
        <v>-408.35</v>
      </c>
      <c r="AI39" s="17" t="s">
        <v>702</v>
      </c>
      <c r="AJ39" s="28">
        <f>132653824470/1000000000</f>
        <v>132.65382446999999</v>
      </c>
      <c r="AK39" s="28">
        <v>9834.99</v>
      </c>
      <c r="AL39" s="17" t="s">
        <v>703</v>
      </c>
      <c r="AM39" s="28">
        <f t="shared" si="0"/>
        <v>2.0196804532726792E-2</v>
      </c>
      <c r="AN39" s="17" t="s">
        <v>704</v>
      </c>
      <c r="AO39" s="28">
        <f>-393643500/1000000000</f>
        <v>-0.39364349999999998</v>
      </c>
      <c r="AP39" s="17">
        <v>393</v>
      </c>
      <c r="AQ39" s="17" t="s">
        <v>705</v>
      </c>
      <c r="AR39" s="28">
        <v>5754.62</v>
      </c>
      <c r="AS39" s="17" t="s">
        <v>706</v>
      </c>
      <c r="AT39" s="17"/>
    </row>
    <row r="40" spans="1:46" ht="14.25" customHeight="1" x14ac:dyDescent="0.3">
      <c r="A40" s="10">
        <v>8</v>
      </c>
      <c r="B40" s="10" t="s">
        <v>662</v>
      </c>
      <c r="C40" s="10" t="s">
        <v>663</v>
      </c>
      <c r="D40" s="10">
        <v>2023</v>
      </c>
      <c r="E40" s="10" t="s">
        <v>661</v>
      </c>
      <c r="F40" s="10" t="s">
        <v>48</v>
      </c>
      <c r="G40" s="30">
        <v>17.7</v>
      </c>
      <c r="H40" s="17" t="s">
        <v>446</v>
      </c>
      <c r="I40" s="17">
        <v>4.1900000000000004</v>
      </c>
      <c r="J40" s="17">
        <f>16.96+0.9</f>
        <v>17.86</v>
      </c>
      <c r="K40" s="17" t="s">
        <v>707</v>
      </c>
      <c r="L40" s="17" t="s">
        <v>708</v>
      </c>
      <c r="M40" s="17" t="s">
        <v>709</v>
      </c>
      <c r="N40" s="17" t="s">
        <v>710</v>
      </c>
      <c r="O40" s="28">
        <v>2476.87</v>
      </c>
      <c r="P40" s="17" t="s">
        <v>711</v>
      </c>
      <c r="Q40" s="17">
        <v>186.94</v>
      </c>
      <c r="R40" s="28">
        <f>1130.7+1908.86+905.25</f>
        <v>3944.81</v>
      </c>
      <c r="S40" s="17" t="s">
        <v>712</v>
      </c>
      <c r="T40" s="28">
        <v>25751.15</v>
      </c>
      <c r="U40" s="28">
        <v>15570.57</v>
      </c>
      <c r="V40" s="17">
        <v>0</v>
      </c>
      <c r="W40" s="28">
        <v>1908.86</v>
      </c>
      <c r="X40" s="28">
        <v>30673.16</v>
      </c>
      <c r="Y40" s="17">
        <v>0</v>
      </c>
      <c r="Z40" s="17" t="s">
        <v>333</v>
      </c>
      <c r="AA40" s="17" t="s">
        <v>333</v>
      </c>
      <c r="AB40" s="28">
        <f>30062343902/1000000000</f>
        <v>30.062343901999999</v>
      </c>
      <c r="AC40" s="17" t="s">
        <v>713</v>
      </c>
      <c r="AD40" s="28">
        <f>K40*22800/1000000000</f>
        <v>14044.3966452</v>
      </c>
      <c r="AE40" s="17" t="s">
        <v>714</v>
      </c>
      <c r="AF40" s="28">
        <v>1865.63</v>
      </c>
      <c r="AG40" s="28">
        <v>373.77</v>
      </c>
      <c r="AH40" s="17">
        <v>-349.76</v>
      </c>
      <c r="AI40" s="17" t="s">
        <v>715</v>
      </c>
      <c r="AJ40" s="28">
        <v>16.239999999999998</v>
      </c>
      <c r="AK40" s="28">
        <v>11274.84</v>
      </c>
      <c r="AL40" s="17" t="s">
        <v>716</v>
      </c>
      <c r="AM40" s="28">
        <f t="shared" si="0"/>
        <v>-0.36330210192425605</v>
      </c>
      <c r="AN40" s="17" t="s">
        <v>717</v>
      </c>
      <c r="AO40" s="28">
        <f>-5531000/1000000000</f>
        <v>-5.5310000000000003E-3</v>
      </c>
      <c r="AP40" s="17" t="s">
        <v>178</v>
      </c>
      <c r="AQ40" s="17" t="s">
        <v>718</v>
      </c>
      <c r="AR40" s="28">
        <v>4832.6400000000003</v>
      </c>
      <c r="AS40" s="17" t="s">
        <v>719</v>
      </c>
      <c r="AT40" s="17"/>
    </row>
    <row r="41" spans="1:46" ht="14.25" customHeight="1" x14ac:dyDescent="0.3">
      <c r="A41" s="10">
        <v>8</v>
      </c>
      <c r="B41" s="10" t="s">
        <v>662</v>
      </c>
      <c r="C41" s="10" t="s">
        <v>663</v>
      </c>
      <c r="D41" s="10">
        <v>2024</v>
      </c>
      <c r="E41" s="10" t="s">
        <v>661</v>
      </c>
      <c r="F41" s="10" t="s">
        <v>48</v>
      </c>
      <c r="G41" s="17">
        <f>16.96+0.1+0.2+0.03+0.01+0.14</f>
        <v>17.440000000000005</v>
      </c>
      <c r="H41" s="17" t="s">
        <v>446</v>
      </c>
      <c r="I41" s="17">
        <v>6.79</v>
      </c>
      <c r="J41" s="17">
        <f>0.64+16.96</f>
        <v>17.600000000000001</v>
      </c>
      <c r="K41" s="17" t="s">
        <v>720</v>
      </c>
      <c r="L41" s="28">
        <v>39882.800000000003</v>
      </c>
      <c r="M41" s="17" t="s">
        <v>721</v>
      </c>
      <c r="N41" s="28">
        <v>19565.63</v>
      </c>
      <c r="O41" s="28">
        <v>3344.66</v>
      </c>
      <c r="P41" s="17">
        <v>495.61</v>
      </c>
      <c r="Q41" s="17">
        <v>196.16</v>
      </c>
      <c r="R41" s="28">
        <f>2959.83+989.75+1113.83</f>
        <v>5063.41</v>
      </c>
      <c r="S41" s="17" t="s">
        <v>722</v>
      </c>
      <c r="T41" s="28">
        <v>32501.54</v>
      </c>
      <c r="U41" s="28">
        <v>18083.400000000001</v>
      </c>
      <c r="V41" s="28">
        <f>110419404/1000000000</f>
        <v>0.110419404</v>
      </c>
      <c r="W41" s="28">
        <v>2959.83</v>
      </c>
      <c r="X41" s="28">
        <f>38998974614294/1000000000</f>
        <v>38998.974614293998</v>
      </c>
      <c r="Y41" s="17">
        <v>0</v>
      </c>
      <c r="Z41" s="17" t="s">
        <v>62</v>
      </c>
      <c r="AA41" s="17" t="s">
        <v>62</v>
      </c>
      <c r="AB41" s="17">
        <v>514.66999999999996</v>
      </c>
      <c r="AC41" s="28">
        <v>10916.94</v>
      </c>
      <c r="AD41" s="28">
        <f>K41*18450/1000000000</f>
        <v>11457.12360105</v>
      </c>
      <c r="AE41" s="28">
        <v>8648.69</v>
      </c>
      <c r="AF41" s="28">
        <v>1414.9</v>
      </c>
      <c r="AG41" s="28">
        <v>770.51</v>
      </c>
      <c r="AH41" s="17">
        <v>-723.83</v>
      </c>
      <c r="AI41" s="17">
        <v>602.07000000000005</v>
      </c>
      <c r="AJ41" s="28">
        <v>16.27</v>
      </c>
      <c r="AK41" s="28">
        <v>14174.35</v>
      </c>
      <c r="AL41" s="28">
        <v>8632.68</v>
      </c>
      <c r="AM41" s="28">
        <f t="shared" si="0"/>
        <v>0.24079213514030987</v>
      </c>
      <c r="AN41" s="28">
        <v>9712.42</v>
      </c>
      <c r="AO41" s="17">
        <v>-0.31</v>
      </c>
      <c r="AP41" s="17" t="s">
        <v>723</v>
      </c>
      <c r="AQ41" s="17" t="s">
        <v>724</v>
      </c>
      <c r="AR41" s="28">
        <v>3914.58</v>
      </c>
      <c r="AS41" s="17" t="s">
        <v>725</v>
      </c>
      <c r="AT41" s="17"/>
    </row>
    <row r="42" spans="1:46" ht="14.25" customHeight="1" x14ac:dyDescent="0.3">
      <c r="A42" s="4">
        <v>9</v>
      </c>
      <c r="B42" s="4" t="s">
        <v>726</v>
      </c>
      <c r="C42" s="4" t="s">
        <v>727</v>
      </c>
      <c r="D42" s="4">
        <v>2020</v>
      </c>
      <c r="E42" s="4" t="s">
        <v>184</v>
      </c>
      <c r="F42" s="4" t="s">
        <v>48</v>
      </c>
      <c r="G42" s="7" t="s">
        <v>728</v>
      </c>
      <c r="H42" s="7" t="s">
        <v>446</v>
      </c>
      <c r="I42" s="7" t="s">
        <v>729</v>
      </c>
      <c r="J42" s="7" t="s">
        <v>730</v>
      </c>
      <c r="K42" s="8">
        <v>228749100</v>
      </c>
      <c r="L42" s="7" t="s">
        <v>731</v>
      </c>
      <c r="M42" s="7" t="s">
        <v>732</v>
      </c>
      <c r="N42" s="7" t="s">
        <v>733</v>
      </c>
      <c r="O42" s="7" t="s">
        <v>734</v>
      </c>
      <c r="P42" s="7" t="s">
        <v>735</v>
      </c>
      <c r="Q42" s="7" t="s">
        <v>736</v>
      </c>
      <c r="R42" s="7" t="s">
        <v>737</v>
      </c>
      <c r="S42" s="7" t="s">
        <v>738</v>
      </c>
      <c r="T42" s="7" t="s">
        <v>739</v>
      </c>
      <c r="U42" s="7" t="s">
        <v>740</v>
      </c>
      <c r="V42" s="7" t="s">
        <v>741</v>
      </c>
      <c r="W42" s="7" t="s">
        <v>742</v>
      </c>
      <c r="X42" s="7" t="s">
        <v>743</v>
      </c>
      <c r="Y42" s="7">
        <v>0</v>
      </c>
      <c r="Z42" s="7" t="s">
        <v>62</v>
      </c>
      <c r="AA42" s="7" t="s">
        <v>62</v>
      </c>
      <c r="AB42" s="7" t="s">
        <v>744</v>
      </c>
      <c r="AC42" s="7" t="s">
        <v>745</v>
      </c>
      <c r="AD42" s="9">
        <v>8463.7199999999993</v>
      </c>
      <c r="AE42" s="7" t="s">
        <v>746</v>
      </c>
      <c r="AF42" s="7" t="s">
        <v>747</v>
      </c>
      <c r="AG42" s="7" t="s">
        <v>748</v>
      </c>
      <c r="AH42" s="7" t="s">
        <v>749</v>
      </c>
      <c r="AI42" s="7" t="s">
        <v>750</v>
      </c>
      <c r="AJ42" s="7" t="s">
        <v>751</v>
      </c>
      <c r="AK42" s="7" t="s">
        <v>752</v>
      </c>
      <c r="AL42" s="7" t="s">
        <v>753</v>
      </c>
      <c r="AM42" s="7" t="s">
        <v>754</v>
      </c>
      <c r="AN42" s="7" t="s">
        <v>755</v>
      </c>
      <c r="AO42" s="7" t="s">
        <v>756</v>
      </c>
      <c r="AP42" s="9">
        <v>905</v>
      </c>
      <c r="AQ42" s="7" t="s">
        <v>757</v>
      </c>
      <c r="AR42" s="7" t="s">
        <v>758</v>
      </c>
      <c r="AS42" s="7" t="s">
        <v>759</v>
      </c>
      <c r="AT42" s="7"/>
    </row>
    <row r="43" spans="1:46" ht="14.25" customHeight="1" x14ac:dyDescent="0.3">
      <c r="A43" s="4">
        <v>9</v>
      </c>
      <c r="B43" s="4" t="s">
        <v>726</v>
      </c>
      <c r="C43" s="4" t="s">
        <v>727</v>
      </c>
      <c r="D43" s="4">
        <v>2021</v>
      </c>
      <c r="E43" s="4" t="s">
        <v>184</v>
      </c>
      <c r="F43" s="4" t="s">
        <v>48</v>
      </c>
      <c r="G43" s="7" t="s">
        <v>760</v>
      </c>
      <c r="H43" s="7" t="s">
        <v>446</v>
      </c>
      <c r="I43" s="7" t="s">
        <v>761</v>
      </c>
      <c r="J43" s="7" t="s">
        <v>762</v>
      </c>
      <c r="K43" s="8">
        <v>251624010</v>
      </c>
      <c r="L43" s="7" t="s">
        <v>763</v>
      </c>
      <c r="M43" s="7" t="s">
        <v>764</v>
      </c>
      <c r="N43" s="7" t="s">
        <v>765</v>
      </c>
      <c r="O43" s="7" t="s">
        <v>766</v>
      </c>
      <c r="P43" s="7" t="s">
        <v>767</v>
      </c>
      <c r="Q43" s="7" t="s">
        <v>768</v>
      </c>
      <c r="R43" s="7" t="s">
        <v>769</v>
      </c>
      <c r="S43" s="7" t="s">
        <v>770</v>
      </c>
      <c r="T43" s="7" t="s">
        <v>771</v>
      </c>
      <c r="U43" s="7" t="s">
        <v>772</v>
      </c>
      <c r="V43" s="7" t="s">
        <v>773</v>
      </c>
      <c r="W43" s="7" t="s">
        <v>774</v>
      </c>
      <c r="X43" s="7" t="s">
        <v>775</v>
      </c>
      <c r="Y43" s="7">
        <v>0</v>
      </c>
      <c r="Z43" s="7" t="s">
        <v>62</v>
      </c>
      <c r="AA43" s="7" t="s">
        <v>62</v>
      </c>
      <c r="AB43" s="7" t="s">
        <v>776</v>
      </c>
      <c r="AC43" s="7" t="s">
        <v>777</v>
      </c>
      <c r="AD43" s="9">
        <v>13587.7</v>
      </c>
      <c r="AE43" s="7" t="s">
        <v>778</v>
      </c>
      <c r="AF43" s="7">
        <v>-20.76</v>
      </c>
      <c r="AG43" s="7" t="s">
        <v>779</v>
      </c>
      <c r="AH43" s="9">
        <v>-1242.9100000000001</v>
      </c>
      <c r="AI43" s="7" t="s">
        <v>780</v>
      </c>
      <c r="AJ43" s="7" t="s">
        <v>781</v>
      </c>
      <c r="AK43" s="7" t="s">
        <v>782</v>
      </c>
      <c r="AL43" s="7" t="s">
        <v>783</v>
      </c>
      <c r="AM43" s="7" t="s">
        <v>784</v>
      </c>
      <c r="AN43" s="7" t="s">
        <v>785</v>
      </c>
      <c r="AO43" s="7" t="s">
        <v>786</v>
      </c>
      <c r="AP43" s="7" t="s">
        <v>787</v>
      </c>
      <c r="AQ43" s="7" t="s">
        <v>788</v>
      </c>
      <c r="AR43" s="7" t="s">
        <v>789</v>
      </c>
      <c r="AS43" s="7" t="s">
        <v>790</v>
      </c>
      <c r="AT43" s="7"/>
    </row>
    <row r="44" spans="1:46" ht="14.25" customHeight="1" x14ac:dyDescent="0.3">
      <c r="A44" s="4">
        <v>9</v>
      </c>
      <c r="B44" s="4" t="s">
        <v>726</v>
      </c>
      <c r="C44" s="4" t="s">
        <v>727</v>
      </c>
      <c r="D44" s="4">
        <v>2022</v>
      </c>
      <c r="E44" s="4" t="s">
        <v>184</v>
      </c>
      <c r="F44" s="4" t="s">
        <v>48</v>
      </c>
      <c r="G44" s="7" t="s">
        <v>791</v>
      </c>
      <c r="H44" s="7" t="s">
        <v>446</v>
      </c>
      <c r="I44" s="7" t="s">
        <v>792</v>
      </c>
      <c r="J44" s="7" t="s">
        <v>762</v>
      </c>
      <c r="K44" s="8">
        <v>257224010</v>
      </c>
      <c r="L44" s="7" t="s">
        <v>793</v>
      </c>
      <c r="M44" s="7" t="s">
        <v>794</v>
      </c>
      <c r="N44" s="7" t="s">
        <v>795</v>
      </c>
      <c r="O44" s="7" t="s">
        <v>796</v>
      </c>
      <c r="P44" s="7" t="s">
        <v>797</v>
      </c>
      <c r="Q44" s="7" t="s">
        <v>798</v>
      </c>
      <c r="R44" s="7" t="s">
        <v>799</v>
      </c>
      <c r="S44" s="7" t="s">
        <v>800</v>
      </c>
      <c r="T44" s="7" t="s">
        <v>801</v>
      </c>
      <c r="U44" s="7" t="s">
        <v>802</v>
      </c>
      <c r="V44" s="7" t="s">
        <v>803</v>
      </c>
      <c r="W44" s="7" t="s">
        <v>804</v>
      </c>
      <c r="X44" s="7" t="s">
        <v>805</v>
      </c>
      <c r="Y44" s="7">
        <v>0</v>
      </c>
      <c r="Z44" s="7" t="s">
        <v>62</v>
      </c>
      <c r="AA44" s="7" t="s">
        <v>62</v>
      </c>
      <c r="AB44" s="7" t="s">
        <v>806</v>
      </c>
      <c r="AC44" s="7" t="s">
        <v>807</v>
      </c>
      <c r="AD44" s="9">
        <v>16719.560000000001</v>
      </c>
      <c r="AE44" s="7" t="s">
        <v>808</v>
      </c>
      <c r="AF44" s="6">
        <v>-380.6</v>
      </c>
      <c r="AG44" s="7" t="s">
        <v>809</v>
      </c>
      <c r="AH44" s="7">
        <v>-299.66000000000003</v>
      </c>
      <c r="AI44" s="7" t="s">
        <v>810</v>
      </c>
      <c r="AJ44" s="7" t="s">
        <v>811</v>
      </c>
      <c r="AK44" s="7" t="s">
        <v>812</v>
      </c>
      <c r="AL44" s="7" t="s">
        <v>813</v>
      </c>
      <c r="AM44" s="7" t="s">
        <v>814</v>
      </c>
      <c r="AN44" s="7" t="s">
        <v>815</v>
      </c>
      <c r="AO44" s="7" t="s">
        <v>816</v>
      </c>
      <c r="AP44" s="7" t="s">
        <v>817</v>
      </c>
      <c r="AQ44" s="7" t="s">
        <v>818</v>
      </c>
      <c r="AR44" s="7" t="s">
        <v>819</v>
      </c>
      <c r="AS44" s="7" t="s">
        <v>820</v>
      </c>
      <c r="AT44" s="7"/>
    </row>
    <row r="45" spans="1:46" ht="14.25" customHeight="1" x14ac:dyDescent="0.3">
      <c r="A45" s="4">
        <v>9</v>
      </c>
      <c r="B45" s="4" t="s">
        <v>726</v>
      </c>
      <c r="C45" s="4" t="s">
        <v>727</v>
      </c>
      <c r="D45" s="4">
        <v>2023</v>
      </c>
      <c r="E45" s="4" t="s">
        <v>184</v>
      </c>
      <c r="F45" s="4" t="s">
        <v>48</v>
      </c>
      <c r="G45" s="7" t="s">
        <v>821</v>
      </c>
      <c r="H45" s="7" t="s">
        <v>446</v>
      </c>
      <c r="I45" s="7" t="s">
        <v>822</v>
      </c>
      <c r="J45" s="7" t="s">
        <v>823</v>
      </c>
      <c r="K45" s="8">
        <v>267288970</v>
      </c>
      <c r="L45" s="7" t="s">
        <v>824</v>
      </c>
      <c r="M45" s="7" t="s">
        <v>825</v>
      </c>
      <c r="N45" s="7" t="s">
        <v>826</v>
      </c>
      <c r="O45" s="7" t="s">
        <v>827</v>
      </c>
      <c r="P45" s="7" t="s">
        <v>828</v>
      </c>
      <c r="Q45" s="7" t="s">
        <v>829</v>
      </c>
      <c r="R45" s="7" t="s">
        <v>830</v>
      </c>
      <c r="S45" s="7" t="s">
        <v>831</v>
      </c>
      <c r="T45" s="7" t="s">
        <v>832</v>
      </c>
      <c r="U45" s="7" t="s">
        <v>833</v>
      </c>
      <c r="V45" s="7" t="s">
        <v>834</v>
      </c>
      <c r="W45" s="7" t="s">
        <v>835</v>
      </c>
      <c r="X45" s="7" t="s">
        <v>836</v>
      </c>
      <c r="Y45" s="7">
        <v>0</v>
      </c>
      <c r="Z45" s="7" t="s">
        <v>62</v>
      </c>
      <c r="AA45" s="7" t="s">
        <v>62</v>
      </c>
      <c r="AB45" s="7" t="s">
        <v>837</v>
      </c>
      <c r="AC45" s="7" t="s">
        <v>838</v>
      </c>
      <c r="AD45" s="9">
        <f>63000*K45/1000000000</f>
        <v>16839.205109999999</v>
      </c>
      <c r="AE45" s="7" t="s">
        <v>839</v>
      </c>
      <c r="AF45" s="7" t="s">
        <v>840</v>
      </c>
      <c r="AG45" s="7" t="s">
        <v>841</v>
      </c>
      <c r="AH45" s="7" t="s">
        <v>842</v>
      </c>
      <c r="AI45" s="7" t="s">
        <v>843</v>
      </c>
      <c r="AJ45" s="7" t="s">
        <v>844</v>
      </c>
      <c r="AK45" s="7" t="s">
        <v>845</v>
      </c>
      <c r="AL45" s="7" t="s">
        <v>846</v>
      </c>
      <c r="AM45" s="7" t="s">
        <v>847</v>
      </c>
      <c r="AN45" s="7" t="s">
        <v>848</v>
      </c>
      <c r="AO45" s="7" t="s">
        <v>849</v>
      </c>
      <c r="AP45" s="7" t="s">
        <v>850</v>
      </c>
      <c r="AQ45" s="7" t="s">
        <v>851</v>
      </c>
      <c r="AR45" s="7" t="s">
        <v>852</v>
      </c>
      <c r="AS45" s="7" t="s">
        <v>468</v>
      </c>
      <c r="AT45" s="7"/>
    </row>
    <row r="46" spans="1:46" ht="14.25" customHeight="1" x14ac:dyDescent="0.3">
      <c r="A46" s="4">
        <v>9</v>
      </c>
      <c r="B46" s="4" t="s">
        <v>726</v>
      </c>
      <c r="C46" s="4" t="s">
        <v>727</v>
      </c>
      <c r="D46" s="4">
        <v>2024</v>
      </c>
      <c r="E46" s="4" t="s">
        <v>184</v>
      </c>
      <c r="F46" s="4" t="s">
        <v>48</v>
      </c>
      <c r="G46" s="7" t="s">
        <v>821</v>
      </c>
      <c r="H46" s="7" t="s">
        <v>446</v>
      </c>
      <c r="I46" s="7" t="s">
        <v>822</v>
      </c>
      <c r="J46" s="7" t="s">
        <v>853</v>
      </c>
      <c r="K46" s="8">
        <v>289806316</v>
      </c>
      <c r="L46" s="7" t="s">
        <v>854</v>
      </c>
      <c r="M46" s="7" t="s">
        <v>855</v>
      </c>
      <c r="N46" s="7" t="s">
        <v>856</v>
      </c>
      <c r="O46" s="7" t="s">
        <v>857</v>
      </c>
      <c r="P46" s="7" t="s">
        <v>858</v>
      </c>
      <c r="Q46" s="7" t="s">
        <v>859</v>
      </c>
      <c r="R46" s="9">
        <v>1124.57</v>
      </c>
      <c r="S46" s="7" t="s">
        <v>860</v>
      </c>
      <c r="T46" s="9">
        <v>6560.04</v>
      </c>
      <c r="U46" s="7" t="s">
        <v>861</v>
      </c>
      <c r="V46" s="7" t="s">
        <v>862</v>
      </c>
      <c r="W46" s="7">
        <v>445.63</v>
      </c>
      <c r="X46" s="9">
        <v>8402.5499999999993</v>
      </c>
      <c r="Y46" s="7">
        <v>0</v>
      </c>
      <c r="Z46" s="7" t="s">
        <v>62</v>
      </c>
      <c r="AA46" s="7" t="s">
        <v>62</v>
      </c>
      <c r="AB46" s="7" t="s">
        <v>863</v>
      </c>
      <c r="AC46" s="7" t="s">
        <v>864</v>
      </c>
      <c r="AD46" s="9">
        <f>58400*K46/1000000000</f>
        <v>16924.688854399999</v>
      </c>
      <c r="AE46" s="7" t="s">
        <v>865</v>
      </c>
      <c r="AF46" s="7" t="s">
        <v>866</v>
      </c>
      <c r="AG46" s="7" t="s">
        <v>867</v>
      </c>
      <c r="AH46" s="9">
        <v>-1533.89</v>
      </c>
      <c r="AI46" s="7" t="s">
        <v>868</v>
      </c>
      <c r="AJ46" s="7" t="s">
        <v>869</v>
      </c>
      <c r="AK46" s="7" t="s">
        <v>870</v>
      </c>
      <c r="AL46" s="7" t="s">
        <v>871</v>
      </c>
      <c r="AM46" s="7" t="s">
        <v>872</v>
      </c>
      <c r="AN46" s="7" t="s">
        <v>873</v>
      </c>
      <c r="AO46" s="7" t="s">
        <v>874</v>
      </c>
      <c r="AP46" s="7" t="s">
        <v>875</v>
      </c>
      <c r="AQ46" s="7" t="s">
        <v>876</v>
      </c>
      <c r="AR46" s="7" t="s">
        <v>877</v>
      </c>
      <c r="AS46" s="7" t="s">
        <v>490</v>
      </c>
      <c r="AT46" s="7"/>
    </row>
    <row r="47" spans="1:46" ht="14.25" customHeight="1" x14ac:dyDescent="0.3">
      <c r="A47" s="10">
        <v>10</v>
      </c>
      <c r="B47" s="10" t="s">
        <v>878</v>
      </c>
      <c r="C47" s="10" t="s">
        <v>879</v>
      </c>
      <c r="D47" s="10">
        <v>2020</v>
      </c>
      <c r="E47" s="10" t="s">
        <v>184</v>
      </c>
      <c r="F47" s="10" t="s">
        <v>48</v>
      </c>
      <c r="G47" s="17">
        <v>3.65</v>
      </c>
      <c r="H47" s="17" t="s">
        <v>446</v>
      </c>
      <c r="I47" s="17">
        <v>44.34</v>
      </c>
      <c r="J47" s="17" t="s">
        <v>880</v>
      </c>
      <c r="K47" s="17" t="s">
        <v>881</v>
      </c>
      <c r="L47" s="17" t="s">
        <v>882</v>
      </c>
      <c r="M47" s="17" t="s">
        <v>883</v>
      </c>
      <c r="N47" s="17" t="s">
        <v>884</v>
      </c>
      <c r="O47" s="17" t="s">
        <v>885</v>
      </c>
      <c r="P47" s="17" t="s">
        <v>886</v>
      </c>
      <c r="Q47" s="17" t="s">
        <v>887</v>
      </c>
      <c r="R47" s="17" t="s">
        <v>455</v>
      </c>
      <c r="S47" s="17" t="s">
        <v>888</v>
      </c>
      <c r="T47" s="17" t="s">
        <v>455</v>
      </c>
      <c r="U47" s="31">
        <f>59183971/1000</f>
        <v>59183.970999999998</v>
      </c>
      <c r="V47" s="28" t="s">
        <v>455</v>
      </c>
      <c r="W47" s="17" t="s">
        <v>455</v>
      </c>
      <c r="X47" s="17" t="s">
        <v>455</v>
      </c>
      <c r="Y47" s="17" t="s">
        <v>889</v>
      </c>
      <c r="Z47" s="17" t="s">
        <v>62</v>
      </c>
      <c r="AA47" s="17" t="s">
        <v>62</v>
      </c>
      <c r="AB47" s="17" t="s">
        <v>890</v>
      </c>
      <c r="AC47" s="17" t="s">
        <v>891</v>
      </c>
      <c r="AD47" s="17" t="s">
        <v>892</v>
      </c>
      <c r="AE47" s="17" t="s">
        <v>893</v>
      </c>
      <c r="AF47" s="17" t="s">
        <v>894</v>
      </c>
      <c r="AG47" s="17" t="s">
        <v>895</v>
      </c>
      <c r="AH47" s="28">
        <v>-33757.29</v>
      </c>
      <c r="AI47" s="17" t="s">
        <v>896</v>
      </c>
      <c r="AJ47" s="17" t="s">
        <v>897</v>
      </c>
      <c r="AK47" s="17" t="s">
        <v>898</v>
      </c>
      <c r="AL47" s="17" t="s">
        <v>899</v>
      </c>
      <c r="AM47" s="17" t="s">
        <v>900</v>
      </c>
      <c r="AN47" s="17" t="s">
        <v>901</v>
      </c>
      <c r="AO47" s="17" t="s">
        <v>902</v>
      </c>
      <c r="AP47" s="17" t="s">
        <v>903</v>
      </c>
      <c r="AQ47" s="17" t="s">
        <v>904</v>
      </c>
      <c r="AR47" s="17" t="s">
        <v>905</v>
      </c>
      <c r="AS47" s="17" t="s">
        <v>611</v>
      </c>
      <c r="AT47" s="17"/>
    </row>
    <row r="48" spans="1:46" ht="14.25" customHeight="1" x14ac:dyDescent="0.3">
      <c r="A48" s="10">
        <v>10</v>
      </c>
      <c r="B48" s="10" t="s">
        <v>878</v>
      </c>
      <c r="C48" s="10" t="s">
        <v>879</v>
      </c>
      <c r="D48" s="10">
        <v>2021</v>
      </c>
      <c r="E48" s="10" t="s">
        <v>184</v>
      </c>
      <c r="F48" s="10" t="s">
        <v>48</v>
      </c>
      <c r="G48" s="17">
        <v>3.64</v>
      </c>
      <c r="H48" s="17" t="s">
        <v>446</v>
      </c>
      <c r="I48" s="17">
        <v>45.23</v>
      </c>
      <c r="J48" s="17" t="s">
        <v>906</v>
      </c>
      <c r="K48" s="17" t="s">
        <v>907</v>
      </c>
      <c r="L48" s="17" t="s">
        <v>908</v>
      </c>
      <c r="M48" s="17" t="s">
        <v>909</v>
      </c>
      <c r="N48" s="17" t="s">
        <v>910</v>
      </c>
      <c r="O48" s="17" t="s">
        <v>911</v>
      </c>
      <c r="P48" s="17" t="s">
        <v>912</v>
      </c>
      <c r="Q48" s="17" t="s">
        <v>913</v>
      </c>
      <c r="R48" s="17" t="s">
        <v>455</v>
      </c>
      <c r="S48" s="17" t="s">
        <v>914</v>
      </c>
      <c r="T48" s="17" t="s">
        <v>455</v>
      </c>
      <c r="U48" s="31">
        <f>66507862/1000</f>
        <v>66507.861999999994</v>
      </c>
      <c r="V48" s="16" t="s">
        <v>455</v>
      </c>
      <c r="W48" s="17" t="s">
        <v>455</v>
      </c>
      <c r="X48" s="17" t="s">
        <v>455</v>
      </c>
      <c r="Y48" s="17" t="s">
        <v>915</v>
      </c>
      <c r="Z48" s="17" t="s">
        <v>62</v>
      </c>
      <c r="AA48" s="17" t="s">
        <v>62</v>
      </c>
      <c r="AB48" s="17" t="s">
        <v>916</v>
      </c>
      <c r="AC48" s="17" t="s">
        <v>917</v>
      </c>
      <c r="AD48" s="17" t="s">
        <v>918</v>
      </c>
      <c r="AE48" s="17" t="s">
        <v>919</v>
      </c>
      <c r="AF48" s="17" t="s">
        <v>920</v>
      </c>
      <c r="AG48" s="17" t="s">
        <v>921</v>
      </c>
      <c r="AH48" s="28">
        <v>-1607.29</v>
      </c>
      <c r="AI48" s="17" t="s">
        <v>922</v>
      </c>
      <c r="AJ48" s="17" t="s">
        <v>923</v>
      </c>
      <c r="AK48" s="17" t="s">
        <v>924</v>
      </c>
      <c r="AL48" s="17" t="s">
        <v>925</v>
      </c>
      <c r="AM48" s="17" t="s">
        <v>926</v>
      </c>
      <c r="AN48" s="17" t="s">
        <v>927</v>
      </c>
      <c r="AO48" s="17" t="s">
        <v>928</v>
      </c>
      <c r="AP48" s="17" t="s">
        <v>929</v>
      </c>
      <c r="AQ48" s="17" t="s">
        <v>930</v>
      </c>
      <c r="AR48" s="17" t="s">
        <v>931</v>
      </c>
      <c r="AS48" s="17" t="s">
        <v>635</v>
      </c>
      <c r="AT48" s="17"/>
    </row>
    <row r="49" spans="1:46" ht="14.25" customHeight="1" x14ac:dyDescent="0.3">
      <c r="A49" s="10">
        <v>10</v>
      </c>
      <c r="B49" s="10" t="s">
        <v>878</v>
      </c>
      <c r="C49" s="10" t="s">
        <v>879</v>
      </c>
      <c r="D49" s="10">
        <v>2022</v>
      </c>
      <c r="E49" s="10" t="s">
        <v>184</v>
      </c>
      <c r="F49" s="10" t="s">
        <v>48</v>
      </c>
      <c r="G49" s="17">
        <v>3.63</v>
      </c>
      <c r="H49" s="17" t="s">
        <v>446</v>
      </c>
      <c r="I49" s="17">
        <v>45.01</v>
      </c>
      <c r="J49" s="17" t="s">
        <v>932</v>
      </c>
      <c r="K49" s="17" t="s">
        <v>933</v>
      </c>
      <c r="L49" s="17" t="s">
        <v>934</v>
      </c>
      <c r="M49" s="17" t="s">
        <v>935</v>
      </c>
      <c r="N49" s="17" t="s">
        <v>936</v>
      </c>
      <c r="O49" s="17" t="s">
        <v>937</v>
      </c>
      <c r="P49" s="17" t="s">
        <v>938</v>
      </c>
      <c r="Q49" s="17" t="s">
        <v>939</v>
      </c>
      <c r="R49" s="17" t="s">
        <v>455</v>
      </c>
      <c r="S49" s="17" t="s">
        <v>940</v>
      </c>
      <c r="T49" s="17" t="s">
        <v>455</v>
      </c>
      <c r="U49" s="28">
        <v>55013.39</v>
      </c>
      <c r="V49" s="17" t="s">
        <v>455</v>
      </c>
      <c r="W49" s="17" t="s">
        <v>455</v>
      </c>
      <c r="X49" s="17" t="s">
        <v>455</v>
      </c>
      <c r="Y49" s="17" t="s">
        <v>941</v>
      </c>
      <c r="Z49" s="17" t="s">
        <v>62</v>
      </c>
      <c r="AA49" s="17" t="s">
        <v>62</v>
      </c>
      <c r="AB49" s="17" t="s">
        <v>942</v>
      </c>
      <c r="AC49" s="17" t="s">
        <v>943</v>
      </c>
      <c r="AD49" s="17" t="s">
        <v>944</v>
      </c>
      <c r="AE49" s="17" t="s">
        <v>945</v>
      </c>
      <c r="AF49" s="17" t="s">
        <v>946</v>
      </c>
      <c r="AG49" s="17" t="s">
        <v>947</v>
      </c>
      <c r="AH49" s="28">
        <v>-5260.68</v>
      </c>
      <c r="AI49" s="17" t="s">
        <v>948</v>
      </c>
      <c r="AJ49" s="17" t="s">
        <v>949</v>
      </c>
      <c r="AK49" s="17" t="s">
        <v>950</v>
      </c>
      <c r="AL49" s="17" t="s">
        <v>951</v>
      </c>
      <c r="AM49" s="30">
        <v>-14</v>
      </c>
      <c r="AN49" s="17" t="s">
        <v>952</v>
      </c>
      <c r="AO49" s="17" t="s">
        <v>953</v>
      </c>
      <c r="AP49" s="17" t="s">
        <v>954</v>
      </c>
      <c r="AQ49" s="17" t="s">
        <v>955</v>
      </c>
      <c r="AR49" s="17" t="s">
        <v>956</v>
      </c>
      <c r="AS49" s="17" t="s">
        <v>658</v>
      </c>
      <c r="AT49" s="17"/>
    </row>
    <row r="50" spans="1:46" ht="14.25" customHeight="1" x14ac:dyDescent="0.3">
      <c r="A50" s="10">
        <v>10</v>
      </c>
      <c r="B50" s="10" t="s">
        <v>878</v>
      </c>
      <c r="C50" s="10" t="s">
        <v>879</v>
      </c>
      <c r="D50" s="10">
        <v>2023</v>
      </c>
      <c r="E50" s="10" t="s">
        <v>184</v>
      </c>
      <c r="F50" s="10" t="s">
        <v>48</v>
      </c>
      <c r="G50" s="17">
        <v>3.63</v>
      </c>
      <c r="H50" s="17" t="s">
        <v>446</v>
      </c>
      <c r="I50" s="17">
        <f>72.1-30.46</f>
        <v>41.639999999999993</v>
      </c>
      <c r="J50" s="17" t="s">
        <v>932</v>
      </c>
      <c r="K50" s="17" t="s">
        <v>957</v>
      </c>
      <c r="L50" s="17" t="s">
        <v>958</v>
      </c>
      <c r="M50" s="17" t="s">
        <v>959</v>
      </c>
      <c r="N50" s="17" t="s">
        <v>960</v>
      </c>
      <c r="O50" s="17" t="s">
        <v>961</v>
      </c>
      <c r="P50" s="17" t="s">
        <v>962</v>
      </c>
      <c r="Q50" s="17" t="s">
        <v>963</v>
      </c>
      <c r="R50" s="17" t="s">
        <v>455</v>
      </c>
      <c r="S50" s="17" t="s">
        <v>964</v>
      </c>
      <c r="T50" s="17" t="s">
        <v>455</v>
      </c>
      <c r="U50" s="28">
        <v>55894.12</v>
      </c>
      <c r="V50" s="17" t="s">
        <v>455</v>
      </c>
      <c r="W50" s="17" t="s">
        <v>455</v>
      </c>
      <c r="X50" s="17" t="s">
        <v>455</v>
      </c>
      <c r="Y50" s="17" t="s">
        <v>965</v>
      </c>
      <c r="Z50" s="17" t="s">
        <v>62</v>
      </c>
      <c r="AA50" s="17" t="s">
        <v>62</v>
      </c>
      <c r="AB50" s="17" t="s">
        <v>966</v>
      </c>
      <c r="AC50" s="17" t="s">
        <v>967</v>
      </c>
      <c r="AD50" s="17" t="s">
        <v>968</v>
      </c>
      <c r="AE50" s="17" t="s">
        <v>969</v>
      </c>
      <c r="AF50" s="17" t="s">
        <v>970</v>
      </c>
      <c r="AG50" s="17" t="s">
        <v>971</v>
      </c>
      <c r="AH50" s="28">
        <v>-26447.26</v>
      </c>
      <c r="AI50" s="17" t="s">
        <v>972</v>
      </c>
      <c r="AJ50" s="17" t="s">
        <v>973</v>
      </c>
      <c r="AK50" s="17" t="s">
        <v>974</v>
      </c>
      <c r="AL50" s="17" t="s">
        <v>975</v>
      </c>
      <c r="AM50" s="17" t="s">
        <v>976</v>
      </c>
      <c r="AN50" s="17" t="s">
        <v>977</v>
      </c>
      <c r="AO50" s="28">
        <f>243821/1000</f>
        <v>243.821</v>
      </c>
      <c r="AP50" s="17" t="s">
        <v>978</v>
      </c>
      <c r="AQ50" s="17" t="s">
        <v>979</v>
      </c>
      <c r="AR50" s="17" t="s">
        <v>980</v>
      </c>
      <c r="AS50" s="17" t="s">
        <v>676</v>
      </c>
      <c r="AT50" s="17"/>
    </row>
    <row r="51" spans="1:46" ht="14.25" customHeight="1" x14ac:dyDescent="0.3">
      <c r="A51" s="10">
        <v>10</v>
      </c>
      <c r="B51" s="10" t="s">
        <v>878</v>
      </c>
      <c r="C51" s="10" t="s">
        <v>879</v>
      </c>
      <c r="D51" s="10">
        <v>2024</v>
      </c>
      <c r="E51" s="10" t="s">
        <v>184</v>
      </c>
      <c r="F51" s="10" t="s">
        <v>48</v>
      </c>
      <c r="G51" s="17" t="s">
        <v>981</v>
      </c>
      <c r="H51" s="17" t="s">
        <v>446</v>
      </c>
      <c r="I51" s="17">
        <v>43.52</v>
      </c>
      <c r="J51" s="17" t="s">
        <v>982</v>
      </c>
      <c r="K51" s="17" t="s">
        <v>983</v>
      </c>
      <c r="L51" s="17" t="s">
        <v>984</v>
      </c>
      <c r="M51" s="17" t="s">
        <v>985</v>
      </c>
      <c r="N51" s="17" t="s">
        <v>986</v>
      </c>
      <c r="O51" s="17" t="s">
        <v>987</v>
      </c>
      <c r="P51" s="17" t="s">
        <v>988</v>
      </c>
      <c r="Q51" s="17" t="s">
        <v>989</v>
      </c>
      <c r="R51" s="17" t="s">
        <v>455</v>
      </c>
      <c r="S51" s="17" t="s">
        <v>990</v>
      </c>
      <c r="T51" s="17" t="s">
        <v>455</v>
      </c>
      <c r="U51" s="28">
        <v>58427.03</v>
      </c>
      <c r="V51" s="17" t="s">
        <v>455</v>
      </c>
      <c r="W51" s="17" t="s">
        <v>455</v>
      </c>
      <c r="X51" s="17" t="s">
        <v>455</v>
      </c>
      <c r="Y51" s="17" t="s">
        <v>991</v>
      </c>
      <c r="Z51" s="17" t="s">
        <v>62</v>
      </c>
      <c r="AA51" s="17" t="s">
        <v>62</v>
      </c>
      <c r="AB51" s="17" t="s">
        <v>992</v>
      </c>
      <c r="AC51" s="17" t="s">
        <v>993</v>
      </c>
      <c r="AD51" s="17" t="s">
        <v>994</v>
      </c>
      <c r="AE51" s="17" t="s">
        <v>995</v>
      </c>
      <c r="AF51" s="17" t="s">
        <v>996</v>
      </c>
      <c r="AG51" s="17" t="s">
        <v>997</v>
      </c>
      <c r="AH51" s="28">
        <v>-6259.07</v>
      </c>
      <c r="AI51" s="17" t="s">
        <v>998</v>
      </c>
      <c r="AJ51" s="17" t="s">
        <v>999</v>
      </c>
      <c r="AK51" s="17" t="s">
        <v>1000</v>
      </c>
      <c r="AL51" s="17" t="s">
        <v>1001</v>
      </c>
      <c r="AM51" s="17" t="s">
        <v>1002</v>
      </c>
      <c r="AN51" s="17" t="s">
        <v>1003</v>
      </c>
      <c r="AO51" s="28">
        <f>1721291/1000</f>
        <v>1721.2909999999999</v>
      </c>
      <c r="AP51" s="17" t="s">
        <v>1004</v>
      </c>
      <c r="AQ51" s="17" t="s">
        <v>1005</v>
      </c>
      <c r="AR51" s="17" t="s">
        <v>1006</v>
      </c>
      <c r="AS51" s="17" t="s">
        <v>692</v>
      </c>
      <c r="AT51" s="17"/>
    </row>
    <row r="52" spans="1:46" ht="14.25" customHeight="1" x14ac:dyDescent="0.3">
      <c r="A52" s="4">
        <v>11</v>
      </c>
      <c r="B52" s="4" t="s">
        <v>1007</v>
      </c>
      <c r="C52" s="4" t="s">
        <v>1008</v>
      </c>
      <c r="D52" s="4">
        <v>2020</v>
      </c>
      <c r="E52" s="4" t="s">
        <v>1009</v>
      </c>
      <c r="F52" s="4" t="s">
        <v>48</v>
      </c>
      <c r="G52" s="5" t="s">
        <v>1010</v>
      </c>
      <c r="H52" s="5" t="s">
        <v>446</v>
      </c>
      <c r="I52" s="5" t="s">
        <v>1011</v>
      </c>
      <c r="J52" s="5" t="s">
        <v>849</v>
      </c>
      <c r="K52" s="5" t="s">
        <v>1012</v>
      </c>
      <c r="L52" s="5" t="s">
        <v>1013</v>
      </c>
      <c r="M52" s="5" t="s">
        <v>1014</v>
      </c>
      <c r="N52" s="5" t="s">
        <v>1015</v>
      </c>
      <c r="O52" s="5" t="s">
        <v>1016</v>
      </c>
      <c r="P52" s="5" t="s">
        <v>1017</v>
      </c>
      <c r="Q52" s="5" t="s">
        <v>1018</v>
      </c>
      <c r="R52" s="5" t="s">
        <v>1019</v>
      </c>
      <c r="S52" s="5" t="s">
        <v>1020</v>
      </c>
      <c r="T52" s="5" t="s">
        <v>1021</v>
      </c>
      <c r="U52" s="5" t="s">
        <v>1022</v>
      </c>
      <c r="V52" s="7" t="s">
        <v>455</v>
      </c>
      <c r="W52" s="5" t="s">
        <v>1023</v>
      </c>
      <c r="X52" s="5" t="s">
        <v>1024</v>
      </c>
      <c r="Y52" s="7" t="s">
        <v>455</v>
      </c>
      <c r="Z52" s="5" t="s">
        <v>62</v>
      </c>
      <c r="AA52" s="5" t="s">
        <v>62</v>
      </c>
      <c r="AB52" s="5" t="s">
        <v>1025</v>
      </c>
      <c r="AC52" s="5" t="s">
        <v>1026</v>
      </c>
      <c r="AD52" s="5" t="s">
        <v>1027</v>
      </c>
      <c r="AE52" s="5" t="s">
        <v>1028</v>
      </c>
      <c r="AF52" s="5" t="s">
        <v>1029</v>
      </c>
      <c r="AG52" s="5" t="s">
        <v>1030</v>
      </c>
      <c r="AH52" s="5" t="s">
        <v>1031</v>
      </c>
      <c r="AI52" s="5" t="s">
        <v>1032</v>
      </c>
      <c r="AJ52" s="5" t="s">
        <v>1033</v>
      </c>
      <c r="AK52" s="5" t="s">
        <v>1034</v>
      </c>
      <c r="AL52" s="5" t="s">
        <v>1035</v>
      </c>
      <c r="AM52" s="5" t="s">
        <v>1036</v>
      </c>
      <c r="AN52" s="5" t="s">
        <v>1037</v>
      </c>
      <c r="AO52" s="5" t="s">
        <v>1038</v>
      </c>
      <c r="AP52" s="5" t="s">
        <v>1039</v>
      </c>
      <c r="AQ52" s="5" t="s">
        <v>1040</v>
      </c>
      <c r="AR52" s="5" t="s">
        <v>1041</v>
      </c>
      <c r="AS52" s="5" t="s">
        <v>1042</v>
      </c>
      <c r="AT52" s="7"/>
    </row>
    <row r="53" spans="1:46" ht="14.25" customHeight="1" x14ac:dyDescent="0.3">
      <c r="A53" s="4">
        <v>11</v>
      </c>
      <c r="B53" s="4" t="s">
        <v>1007</v>
      </c>
      <c r="C53" s="4" t="s">
        <v>1008</v>
      </c>
      <c r="D53" s="4">
        <v>2021</v>
      </c>
      <c r="E53" s="4" t="s">
        <v>1009</v>
      </c>
      <c r="F53" s="4" t="s">
        <v>48</v>
      </c>
      <c r="G53" s="5" t="s">
        <v>1043</v>
      </c>
      <c r="H53" s="5" t="s">
        <v>446</v>
      </c>
      <c r="I53" s="5" t="s">
        <v>1044</v>
      </c>
      <c r="J53" s="5" t="s">
        <v>1045</v>
      </c>
      <c r="K53" s="5" t="s">
        <v>1012</v>
      </c>
      <c r="L53" s="5" t="s">
        <v>1046</v>
      </c>
      <c r="M53" s="5" t="s">
        <v>1047</v>
      </c>
      <c r="N53" s="5" t="s">
        <v>1048</v>
      </c>
      <c r="O53" s="5" t="s">
        <v>1049</v>
      </c>
      <c r="P53" s="5" t="s">
        <v>1050</v>
      </c>
      <c r="Q53" s="5" t="s">
        <v>1051</v>
      </c>
      <c r="R53" s="5" t="s">
        <v>1052</v>
      </c>
      <c r="S53" s="5" t="s">
        <v>1053</v>
      </c>
      <c r="T53" s="5" t="s">
        <v>1054</v>
      </c>
      <c r="U53" s="5" t="s">
        <v>1055</v>
      </c>
      <c r="V53" s="7" t="s">
        <v>455</v>
      </c>
      <c r="W53" s="5" t="s">
        <v>1056</v>
      </c>
      <c r="X53" s="5" t="s">
        <v>1057</v>
      </c>
      <c r="Y53" s="7" t="s">
        <v>455</v>
      </c>
      <c r="Z53" s="5" t="s">
        <v>62</v>
      </c>
      <c r="AA53" s="5" t="s">
        <v>62</v>
      </c>
      <c r="AB53" s="5" t="s">
        <v>1058</v>
      </c>
      <c r="AC53" s="5" t="s">
        <v>1059</v>
      </c>
      <c r="AD53" s="5" t="s">
        <v>1060</v>
      </c>
      <c r="AE53" s="5" t="s">
        <v>1061</v>
      </c>
      <c r="AF53" s="5" t="s">
        <v>1062</v>
      </c>
      <c r="AG53" s="5" t="s">
        <v>1063</v>
      </c>
      <c r="AH53" s="5" t="s">
        <v>1064</v>
      </c>
      <c r="AI53" s="5" t="s">
        <v>1065</v>
      </c>
      <c r="AJ53" s="5" t="s">
        <v>1066</v>
      </c>
      <c r="AK53" s="5" t="s">
        <v>1067</v>
      </c>
      <c r="AL53" s="5" t="s">
        <v>1068</v>
      </c>
      <c r="AM53" s="5" t="s">
        <v>1069</v>
      </c>
      <c r="AN53" s="5" t="s">
        <v>1070</v>
      </c>
      <c r="AO53" s="5" t="s">
        <v>1071</v>
      </c>
      <c r="AP53" s="5" t="s">
        <v>1072</v>
      </c>
      <c r="AQ53" s="5" t="s">
        <v>1073</v>
      </c>
      <c r="AR53" s="5" t="s">
        <v>1074</v>
      </c>
      <c r="AS53" s="5" t="s">
        <v>1075</v>
      </c>
      <c r="AT53" s="7"/>
    </row>
    <row r="54" spans="1:46" ht="14.25" customHeight="1" x14ac:dyDescent="0.3">
      <c r="A54" s="4">
        <v>11</v>
      </c>
      <c r="B54" s="4" t="s">
        <v>1007</v>
      </c>
      <c r="C54" s="4" t="s">
        <v>1008</v>
      </c>
      <c r="D54" s="4">
        <v>2022</v>
      </c>
      <c r="E54" s="4" t="s">
        <v>1009</v>
      </c>
      <c r="F54" s="4" t="s">
        <v>48</v>
      </c>
      <c r="G54" s="5" t="s">
        <v>1076</v>
      </c>
      <c r="H54" s="5" t="s">
        <v>446</v>
      </c>
      <c r="I54" s="5" t="s">
        <v>1077</v>
      </c>
      <c r="J54" s="5" t="s">
        <v>234</v>
      </c>
      <c r="K54" s="5" t="s">
        <v>1078</v>
      </c>
      <c r="L54" s="5" t="s">
        <v>1079</v>
      </c>
      <c r="M54" s="5" t="s">
        <v>1080</v>
      </c>
      <c r="N54" s="5" t="s">
        <v>1081</v>
      </c>
      <c r="O54" s="5" t="s">
        <v>1082</v>
      </c>
      <c r="P54" s="5" t="s">
        <v>1083</v>
      </c>
      <c r="Q54" s="5" t="s">
        <v>1084</v>
      </c>
      <c r="R54" s="5" t="s">
        <v>1085</v>
      </c>
      <c r="S54" s="5" t="s">
        <v>1086</v>
      </c>
      <c r="T54" s="5" t="s">
        <v>1087</v>
      </c>
      <c r="U54" s="5" t="s">
        <v>1088</v>
      </c>
      <c r="V54" s="7" t="s">
        <v>455</v>
      </c>
      <c r="W54" s="5" t="s">
        <v>1089</v>
      </c>
      <c r="X54" s="5" t="s">
        <v>1090</v>
      </c>
      <c r="Y54" s="7" t="s">
        <v>455</v>
      </c>
      <c r="Z54" s="5" t="s">
        <v>62</v>
      </c>
      <c r="AA54" s="5" t="s">
        <v>62</v>
      </c>
      <c r="AB54" s="5" t="s">
        <v>1091</v>
      </c>
      <c r="AC54" s="5" t="s">
        <v>1092</v>
      </c>
      <c r="AD54" s="5" t="s">
        <v>1093</v>
      </c>
      <c r="AE54" s="5" t="s">
        <v>1094</v>
      </c>
      <c r="AF54" s="5" t="s">
        <v>1095</v>
      </c>
      <c r="AG54" s="5" t="s">
        <v>1096</v>
      </c>
      <c r="AH54" s="5" t="s">
        <v>1097</v>
      </c>
      <c r="AI54" s="5" t="s">
        <v>1098</v>
      </c>
      <c r="AJ54" s="5" t="s">
        <v>1099</v>
      </c>
      <c r="AK54" s="5" t="s">
        <v>1100</v>
      </c>
      <c r="AL54" s="5" t="s">
        <v>1101</v>
      </c>
      <c r="AM54" s="5" t="s">
        <v>1102</v>
      </c>
      <c r="AN54" s="5" t="s">
        <v>1103</v>
      </c>
      <c r="AO54" s="5" t="s">
        <v>1104</v>
      </c>
      <c r="AP54" s="5" t="s">
        <v>1105</v>
      </c>
      <c r="AQ54" s="5" t="s">
        <v>1106</v>
      </c>
      <c r="AR54" s="5" t="s">
        <v>1107</v>
      </c>
      <c r="AS54" s="5" t="s">
        <v>1108</v>
      </c>
      <c r="AT54" s="7"/>
    </row>
    <row r="55" spans="1:46" ht="14.25" customHeight="1" x14ac:dyDescent="0.3">
      <c r="A55" s="4">
        <v>11</v>
      </c>
      <c r="B55" s="4" t="s">
        <v>1007</v>
      </c>
      <c r="C55" s="4" t="s">
        <v>1008</v>
      </c>
      <c r="D55" s="4">
        <v>2023</v>
      </c>
      <c r="E55" s="4" t="s">
        <v>1009</v>
      </c>
      <c r="F55" s="4" t="s">
        <v>48</v>
      </c>
      <c r="G55" s="5" t="s">
        <v>1109</v>
      </c>
      <c r="H55" s="5" t="s">
        <v>446</v>
      </c>
      <c r="I55" s="5" t="s">
        <v>1077</v>
      </c>
      <c r="J55" s="5" t="s">
        <v>1110</v>
      </c>
      <c r="K55" s="5" t="s">
        <v>1078</v>
      </c>
      <c r="L55" s="5" t="s">
        <v>1111</v>
      </c>
      <c r="M55" s="5" t="s">
        <v>1112</v>
      </c>
      <c r="N55" s="5" t="s">
        <v>1113</v>
      </c>
      <c r="O55" s="5" t="s">
        <v>1114</v>
      </c>
      <c r="P55" s="5" t="s">
        <v>1115</v>
      </c>
      <c r="Q55" s="5" t="s">
        <v>1051</v>
      </c>
      <c r="R55" s="5" t="s">
        <v>1116</v>
      </c>
      <c r="S55" s="5" t="s">
        <v>1117</v>
      </c>
      <c r="T55" s="5" t="s">
        <v>1118</v>
      </c>
      <c r="U55" s="5" t="s">
        <v>1119</v>
      </c>
      <c r="V55" s="7" t="s">
        <v>455</v>
      </c>
      <c r="W55" s="5" t="s">
        <v>1120</v>
      </c>
      <c r="X55" s="5" t="s">
        <v>1121</v>
      </c>
      <c r="Y55" s="7" t="s">
        <v>455</v>
      </c>
      <c r="Z55" s="5" t="s">
        <v>62</v>
      </c>
      <c r="AA55" s="5" t="s">
        <v>62</v>
      </c>
      <c r="AB55" s="5" t="s">
        <v>1122</v>
      </c>
      <c r="AC55" s="5" t="s">
        <v>1123</v>
      </c>
      <c r="AD55" s="5" t="s">
        <v>1093</v>
      </c>
      <c r="AE55" s="5" t="s">
        <v>1124</v>
      </c>
      <c r="AF55" s="5" t="s">
        <v>1125</v>
      </c>
      <c r="AG55" s="5" t="s">
        <v>1126</v>
      </c>
      <c r="AH55" s="5" t="s">
        <v>1127</v>
      </c>
      <c r="AI55" s="5" t="s">
        <v>1128</v>
      </c>
      <c r="AJ55" s="5" t="s">
        <v>1129</v>
      </c>
      <c r="AK55" s="5" t="s">
        <v>1130</v>
      </c>
      <c r="AL55" s="5" t="s">
        <v>1131</v>
      </c>
      <c r="AM55" s="5" t="s">
        <v>1132</v>
      </c>
      <c r="AN55" s="5" t="s">
        <v>1133</v>
      </c>
      <c r="AO55" s="5" t="s">
        <v>1134</v>
      </c>
      <c r="AP55" s="5" t="s">
        <v>1135</v>
      </c>
      <c r="AQ55" s="5" t="s">
        <v>1136</v>
      </c>
      <c r="AR55" s="5" t="s">
        <v>1137</v>
      </c>
      <c r="AS55" s="5" t="s">
        <v>1138</v>
      </c>
      <c r="AT55" s="7"/>
    </row>
    <row r="56" spans="1:46" ht="14.25" customHeight="1" x14ac:dyDescent="0.3">
      <c r="A56" s="4">
        <v>11</v>
      </c>
      <c r="B56" s="4" t="s">
        <v>1007</v>
      </c>
      <c r="C56" s="4" t="s">
        <v>1008</v>
      </c>
      <c r="D56" s="4">
        <v>2024</v>
      </c>
      <c r="E56" s="4" t="s">
        <v>1009</v>
      </c>
      <c r="F56" s="4" t="s">
        <v>48</v>
      </c>
      <c r="G56" s="5" t="s">
        <v>1139</v>
      </c>
      <c r="H56" s="5" t="s">
        <v>446</v>
      </c>
      <c r="I56" s="5" t="s">
        <v>1140</v>
      </c>
      <c r="J56" s="5" t="s">
        <v>1141</v>
      </c>
      <c r="K56" s="5" t="s">
        <v>1078</v>
      </c>
      <c r="L56" s="5" t="s">
        <v>1142</v>
      </c>
      <c r="M56" s="5" t="s">
        <v>1143</v>
      </c>
      <c r="N56" s="5" t="s">
        <v>1144</v>
      </c>
      <c r="O56" s="5" t="s">
        <v>1145</v>
      </c>
      <c r="P56" s="5" t="s">
        <v>1146</v>
      </c>
      <c r="Q56" s="5" t="s">
        <v>1147</v>
      </c>
      <c r="R56" s="5" t="s">
        <v>1148</v>
      </c>
      <c r="S56" s="5" t="s">
        <v>1149</v>
      </c>
      <c r="T56" s="5" t="s">
        <v>1150</v>
      </c>
      <c r="U56" s="5" t="s">
        <v>1151</v>
      </c>
      <c r="V56" s="7" t="s">
        <v>455</v>
      </c>
      <c r="W56" s="5" t="s">
        <v>1152</v>
      </c>
      <c r="X56" s="5" t="s">
        <v>1153</v>
      </c>
      <c r="Y56" s="7" t="s">
        <v>455</v>
      </c>
      <c r="Z56" s="5" t="s">
        <v>62</v>
      </c>
      <c r="AA56" s="5" t="s">
        <v>62</v>
      </c>
      <c r="AB56" s="5" t="s">
        <v>1154</v>
      </c>
      <c r="AC56" s="5" t="s">
        <v>1155</v>
      </c>
      <c r="AD56" s="5" t="s">
        <v>1093</v>
      </c>
      <c r="AE56" s="5" t="s">
        <v>1156</v>
      </c>
      <c r="AF56" s="5" t="s">
        <v>1157</v>
      </c>
      <c r="AG56" s="5" t="s">
        <v>1158</v>
      </c>
      <c r="AH56" s="5" t="s">
        <v>1159</v>
      </c>
      <c r="AI56" s="5" t="s">
        <v>1160</v>
      </c>
      <c r="AJ56" s="5" t="s">
        <v>1161</v>
      </c>
      <c r="AK56" s="5" t="s">
        <v>1162</v>
      </c>
      <c r="AL56" s="5" t="s">
        <v>1163</v>
      </c>
      <c r="AM56" s="5" t="s">
        <v>1164</v>
      </c>
      <c r="AN56" s="5" t="s">
        <v>1165</v>
      </c>
      <c r="AO56" s="5" t="s">
        <v>1134</v>
      </c>
      <c r="AP56" s="5" t="s">
        <v>1166</v>
      </c>
      <c r="AQ56" s="5" t="s">
        <v>1167</v>
      </c>
      <c r="AR56" s="5" t="s">
        <v>1168</v>
      </c>
      <c r="AS56" s="5" t="s">
        <v>1169</v>
      </c>
      <c r="AT56" s="7"/>
    </row>
    <row r="57" spans="1:46" ht="14.25" customHeight="1" x14ac:dyDescent="0.3">
      <c r="A57" s="10">
        <v>12</v>
      </c>
      <c r="B57" s="10" t="s">
        <v>1170</v>
      </c>
      <c r="C57" s="10" t="s">
        <v>1171</v>
      </c>
      <c r="D57" s="10">
        <v>2020</v>
      </c>
      <c r="E57" s="10" t="s">
        <v>1009</v>
      </c>
      <c r="F57" s="10" t="s">
        <v>181</v>
      </c>
      <c r="G57" s="32" t="s">
        <v>1172</v>
      </c>
      <c r="H57" s="32" t="s">
        <v>1173</v>
      </c>
      <c r="I57" s="32" t="s">
        <v>1174</v>
      </c>
      <c r="J57" s="32" t="s">
        <v>1175</v>
      </c>
      <c r="K57" s="32" t="s">
        <v>1176</v>
      </c>
      <c r="L57" s="32" t="s">
        <v>1177</v>
      </c>
      <c r="M57" s="32" t="s">
        <v>1177</v>
      </c>
      <c r="N57" s="32" t="s">
        <v>1178</v>
      </c>
      <c r="O57" s="32" t="s">
        <v>1179</v>
      </c>
      <c r="P57" s="32" t="s">
        <v>1180</v>
      </c>
      <c r="Q57" s="32" t="s">
        <v>1181</v>
      </c>
      <c r="R57" s="32" t="s">
        <v>1182</v>
      </c>
      <c r="S57" s="32" t="s">
        <v>1183</v>
      </c>
      <c r="T57" s="32" t="s">
        <v>1184</v>
      </c>
      <c r="U57" s="32" t="s">
        <v>1185</v>
      </c>
      <c r="V57" s="32" t="s">
        <v>1186</v>
      </c>
      <c r="W57" s="32" t="s">
        <v>1187</v>
      </c>
      <c r="X57" s="32" t="s">
        <v>1188</v>
      </c>
      <c r="Y57" s="17" t="s">
        <v>455</v>
      </c>
      <c r="Z57" s="32" t="s">
        <v>62</v>
      </c>
      <c r="AA57" s="32" t="s">
        <v>62</v>
      </c>
      <c r="AB57" s="32" t="s">
        <v>1189</v>
      </c>
      <c r="AC57" s="32" t="s">
        <v>1190</v>
      </c>
      <c r="AD57" s="17" t="s">
        <v>455</v>
      </c>
      <c r="AE57" s="32" t="s">
        <v>1191</v>
      </c>
      <c r="AF57" s="32" t="s">
        <v>1192</v>
      </c>
      <c r="AG57" s="32" t="s">
        <v>1193</v>
      </c>
      <c r="AH57" s="32" t="s">
        <v>1194</v>
      </c>
      <c r="AI57" s="32" t="s">
        <v>1195</v>
      </c>
      <c r="AJ57" s="32" t="s">
        <v>1196</v>
      </c>
      <c r="AK57" s="32" t="s">
        <v>1197</v>
      </c>
      <c r="AL57" s="32" t="s">
        <v>1198</v>
      </c>
      <c r="AM57" s="32" t="s">
        <v>1199</v>
      </c>
      <c r="AN57" s="32" t="s">
        <v>140</v>
      </c>
      <c r="AO57" s="32" t="s">
        <v>1200</v>
      </c>
      <c r="AP57" s="32" t="s">
        <v>1201</v>
      </c>
      <c r="AQ57" s="32" t="s">
        <v>1202</v>
      </c>
      <c r="AR57" s="32" t="s">
        <v>1203</v>
      </c>
      <c r="AS57" s="32" t="s">
        <v>1204</v>
      </c>
      <c r="AT57" s="17"/>
    </row>
    <row r="58" spans="1:46" ht="14.25" customHeight="1" x14ac:dyDescent="0.3">
      <c r="A58" s="10">
        <v>12</v>
      </c>
      <c r="B58" s="10" t="s">
        <v>1170</v>
      </c>
      <c r="C58" s="10" t="s">
        <v>1171</v>
      </c>
      <c r="D58" s="10">
        <v>2021</v>
      </c>
      <c r="E58" s="10" t="s">
        <v>1009</v>
      </c>
      <c r="F58" s="10" t="s">
        <v>181</v>
      </c>
      <c r="G58" s="32" t="s">
        <v>1172</v>
      </c>
      <c r="H58" s="32" t="s">
        <v>1173</v>
      </c>
      <c r="I58" s="32" t="s">
        <v>1205</v>
      </c>
      <c r="J58" s="32" t="s">
        <v>1206</v>
      </c>
      <c r="K58" s="32" t="s">
        <v>1176</v>
      </c>
      <c r="L58" s="32" t="s">
        <v>1207</v>
      </c>
      <c r="M58" s="32" t="s">
        <v>1207</v>
      </c>
      <c r="N58" s="32" t="s">
        <v>1208</v>
      </c>
      <c r="O58" s="32" t="s">
        <v>1209</v>
      </c>
      <c r="P58" s="32" t="s">
        <v>1210</v>
      </c>
      <c r="Q58" s="32" t="s">
        <v>1211</v>
      </c>
      <c r="R58" s="32" t="s">
        <v>1212</v>
      </c>
      <c r="S58" s="32" t="s">
        <v>1213</v>
      </c>
      <c r="T58" s="32" t="s">
        <v>1214</v>
      </c>
      <c r="U58" s="32" t="s">
        <v>1215</v>
      </c>
      <c r="V58" s="32" t="s">
        <v>1216</v>
      </c>
      <c r="W58" s="32" t="s">
        <v>1217</v>
      </c>
      <c r="X58" s="32" t="s">
        <v>1218</v>
      </c>
      <c r="Y58" s="17" t="s">
        <v>455</v>
      </c>
      <c r="Z58" s="32" t="s">
        <v>62</v>
      </c>
      <c r="AA58" s="32" t="s">
        <v>62</v>
      </c>
      <c r="AB58" s="32" t="s">
        <v>1219</v>
      </c>
      <c r="AC58" s="32" t="s">
        <v>1220</v>
      </c>
      <c r="AD58" s="17" t="s">
        <v>455</v>
      </c>
      <c r="AE58" s="32" t="s">
        <v>1221</v>
      </c>
      <c r="AF58" s="32" t="s">
        <v>1222</v>
      </c>
      <c r="AG58" s="32" t="s">
        <v>1223</v>
      </c>
      <c r="AH58" s="32" t="s">
        <v>1224</v>
      </c>
      <c r="AI58" s="32" t="s">
        <v>1225</v>
      </c>
      <c r="AJ58" s="32" t="s">
        <v>1226</v>
      </c>
      <c r="AK58" s="32" t="s">
        <v>1227</v>
      </c>
      <c r="AL58" s="32" t="s">
        <v>1228</v>
      </c>
      <c r="AM58" s="32" t="s">
        <v>1229</v>
      </c>
      <c r="AN58" s="32" t="s">
        <v>1230</v>
      </c>
      <c r="AO58" s="32" t="s">
        <v>1200</v>
      </c>
      <c r="AP58" s="32" t="s">
        <v>1231</v>
      </c>
      <c r="AQ58" s="32" t="s">
        <v>1232</v>
      </c>
      <c r="AR58" s="32" t="s">
        <v>1233</v>
      </c>
      <c r="AS58" s="32" t="s">
        <v>759</v>
      </c>
      <c r="AT58" s="17"/>
    </row>
    <row r="59" spans="1:46" ht="14.25" customHeight="1" x14ac:dyDescent="0.3">
      <c r="A59" s="10">
        <v>12</v>
      </c>
      <c r="B59" s="10" t="s">
        <v>1170</v>
      </c>
      <c r="C59" s="10" t="s">
        <v>1171</v>
      </c>
      <c r="D59" s="10">
        <v>2022</v>
      </c>
      <c r="E59" s="10" t="s">
        <v>1009</v>
      </c>
      <c r="F59" s="10" t="s">
        <v>181</v>
      </c>
      <c r="G59" s="32" t="s">
        <v>1172</v>
      </c>
      <c r="H59" s="32" t="s">
        <v>1173</v>
      </c>
      <c r="I59" s="32" t="s">
        <v>1174</v>
      </c>
      <c r="J59" s="32" t="s">
        <v>1175</v>
      </c>
      <c r="K59" s="32" t="s">
        <v>1176</v>
      </c>
      <c r="L59" s="32" t="s">
        <v>1234</v>
      </c>
      <c r="M59" s="32" t="s">
        <v>1234</v>
      </c>
      <c r="N59" s="32" t="s">
        <v>1235</v>
      </c>
      <c r="O59" s="32" t="s">
        <v>1236</v>
      </c>
      <c r="P59" s="32" t="s">
        <v>1237</v>
      </c>
      <c r="Q59" s="33" t="s">
        <v>1181</v>
      </c>
      <c r="R59" s="32" t="s">
        <v>1238</v>
      </c>
      <c r="S59" s="32" t="s">
        <v>1239</v>
      </c>
      <c r="T59" s="32" t="s">
        <v>1240</v>
      </c>
      <c r="U59" s="32" t="s">
        <v>1241</v>
      </c>
      <c r="V59" s="32" t="s">
        <v>1242</v>
      </c>
      <c r="W59" s="32" t="s">
        <v>1243</v>
      </c>
      <c r="X59" s="32" t="s">
        <v>1244</v>
      </c>
      <c r="Y59" s="17" t="s">
        <v>455</v>
      </c>
      <c r="Z59" s="32" t="s">
        <v>62</v>
      </c>
      <c r="AA59" s="32" t="s">
        <v>62</v>
      </c>
      <c r="AB59" s="32" t="s">
        <v>1245</v>
      </c>
      <c r="AC59" s="32" t="s">
        <v>1246</v>
      </c>
      <c r="AD59" s="17" t="s">
        <v>455</v>
      </c>
      <c r="AE59" s="32" t="s">
        <v>1247</v>
      </c>
      <c r="AF59" s="32" t="s">
        <v>1248</v>
      </c>
      <c r="AG59" s="32" t="s">
        <v>1129</v>
      </c>
      <c r="AH59" s="32" t="s">
        <v>1249</v>
      </c>
      <c r="AI59" s="32" t="s">
        <v>1225</v>
      </c>
      <c r="AJ59" s="32" t="s">
        <v>1250</v>
      </c>
      <c r="AK59" s="32" t="s">
        <v>1251</v>
      </c>
      <c r="AL59" s="32" t="s">
        <v>1252</v>
      </c>
      <c r="AM59" s="32" t="s">
        <v>1253</v>
      </c>
      <c r="AN59" s="32" t="s">
        <v>1254</v>
      </c>
      <c r="AO59" s="32" t="s">
        <v>1200</v>
      </c>
      <c r="AP59" s="32" t="s">
        <v>1255</v>
      </c>
      <c r="AQ59" s="32" t="s">
        <v>1256</v>
      </c>
      <c r="AR59" s="32" t="s">
        <v>1257</v>
      </c>
      <c r="AS59" s="32" t="s">
        <v>790</v>
      </c>
      <c r="AT59" s="17"/>
    </row>
    <row r="60" spans="1:46" ht="14.25" customHeight="1" x14ac:dyDescent="0.3">
      <c r="A60" s="10">
        <v>12</v>
      </c>
      <c r="B60" s="10" t="s">
        <v>1170</v>
      </c>
      <c r="C60" s="10" t="s">
        <v>1171</v>
      </c>
      <c r="D60" s="10">
        <v>2023</v>
      </c>
      <c r="E60" s="10" t="s">
        <v>1009</v>
      </c>
      <c r="F60" s="10" t="s">
        <v>181</v>
      </c>
      <c r="G60" s="32" t="s">
        <v>1258</v>
      </c>
      <c r="H60" s="32" t="s">
        <v>1173</v>
      </c>
      <c r="I60" s="32" t="s">
        <v>1259</v>
      </c>
      <c r="J60" s="32" t="s">
        <v>1260</v>
      </c>
      <c r="K60" s="32" t="s">
        <v>1176</v>
      </c>
      <c r="L60" s="32" t="s">
        <v>1261</v>
      </c>
      <c r="M60" s="32" t="s">
        <v>1261</v>
      </c>
      <c r="N60" s="32" t="s">
        <v>1262</v>
      </c>
      <c r="O60" s="32" t="s">
        <v>1263</v>
      </c>
      <c r="P60" s="32" t="s">
        <v>1264</v>
      </c>
      <c r="Q60" s="32" t="s">
        <v>1265</v>
      </c>
      <c r="R60" s="32" t="s">
        <v>1266</v>
      </c>
      <c r="S60" s="32" t="s">
        <v>1267</v>
      </c>
      <c r="T60" s="32" t="s">
        <v>1268</v>
      </c>
      <c r="U60" s="32" t="s">
        <v>1269</v>
      </c>
      <c r="V60" s="32" t="s">
        <v>1270</v>
      </c>
      <c r="W60" s="32" t="s">
        <v>1271</v>
      </c>
      <c r="X60" s="32" t="s">
        <v>1272</v>
      </c>
      <c r="Y60" s="17" t="s">
        <v>455</v>
      </c>
      <c r="Z60" s="32" t="s">
        <v>62</v>
      </c>
      <c r="AA60" s="32" t="s">
        <v>62</v>
      </c>
      <c r="AB60" s="32" t="s">
        <v>1273</v>
      </c>
      <c r="AC60" s="32" t="s">
        <v>1274</v>
      </c>
      <c r="AD60" s="17" t="s">
        <v>455</v>
      </c>
      <c r="AE60" s="32" t="s">
        <v>1275</v>
      </c>
      <c r="AF60" s="32" t="s">
        <v>1276</v>
      </c>
      <c r="AG60" s="32" t="s">
        <v>1277</v>
      </c>
      <c r="AH60" s="32" t="s">
        <v>1278</v>
      </c>
      <c r="AI60" s="32" t="s">
        <v>1279</v>
      </c>
      <c r="AJ60" s="32" t="s">
        <v>1280</v>
      </c>
      <c r="AK60" s="32" t="s">
        <v>1281</v>
      </c>
      <c r="AL60" s="32" t="s">
        <v>1282</v>
      </c>
      <c r="AM60" s="32" t="s">
        <v>1283</v>
      </c>
      <c r="AN60" s="32" t="s">
        <v>1284</v>
      </c>
      <c r="AO60" s="32" t="s">
        <v>1285</v>
      </c>
      <c r="AP60" s="32" t="s">
        <v>1286</v>
      </c>
      <c r="AQ60" s="32" t="s">
        <v>1287</v>
      </c>
      <c r="AR60" s="32" t="s">
        <v>1288</v>
      </c>
      <c r="AS60" s="32" t="s">
        <v>820</v>
      </c>
      <c r="AT60" s="17"/>
    </row>
    <row r="61" spans="1:46" ht="14.25" customHeight="1" x14ac:dyDescent="0.3">
      <c r="A61" s="10">
        <v>12</v>
      </c>
      <c r="B61" s="10" t="s">
        <v>1170</v>
      </c>
      <c r="C61" s="10" t="s">
        <v>1171</v>
      </c>
      <c r="D61" s="10">
        <v>2024</v>
      </c>
      <c r="E61" s="10" t="s">
        <v>1009</v>
      </c>
      <c r="F61" s="10" t="s">
        <v>181</v>
      </c>
      <c r="G61" s="32" t="s">
        <v>1258</v>
      </c>
      <c r="H61" s="32" t="s">
        <v>1173</v>
      </c>
      <c r="I61" s="32" t="s">
        <v>1289</v>
      </c>
      <c r="J61" s="32" t="s">
        <v>1290</v>
      </c>
      <c r="K61" s="32" t="s">
        <v>1176</v>
      </c>
      <c r="L61" s="32" t="s">
        <v>1291</v>
      </c>
      <c r="M61" s="32" t="s">
        <v>1291</v>
      </c>
      <c r="N61" s="32" t="s">
        <v>1292</v>
      </c>
      <c r="O61" s="32" t="s">
        <v>1293</v>
      </c>
      <c r="P61" s="32" t="s">
        <v>1294</v>
      </c>
      <c r="Q61" s="32" t="s">
        <v>1295</v>
      </c>
      <c r="R61" s="32" t="s">
        <v>1296</v>
      </c>
      <c r="S61" s="32" t="s">
        <v>1297</v>
      </c>
      <c r="T61" s="32" t="s">
        <v>1298</v>
      </c>
      <c r="U61" s="32" t="s">
        <v>1299</v>
      </c>
      <c r="V61" s="32" t="s">
        <v>1300</v>
      </c>
      <c r="W61" s="32" t="s">
        <v>1301</v>
      </c>
      <c r="X61" s="32" t="s">
        <v>1302</v>
      </c>
      <c r="Y61" s="17" t="s">
        <v>455</v>
      </c>
      <c r="Z61" s="32" t="s">
        <v>62</v>
      </c>
      <c r="AA61" s="32" t="s">
        <v>62</v>
      </c>
      <c r="AB61" s="32" t="s">
        <v>1303</v>
      </c>
      <c r="AC61" s="32" t="s">
        <v>1304</v>
      </c>
      <c r="AD61" s="17" t="s">
        <v>455</v>
      </c>
      <c r="AE61" s="32" t="s">
        <v>1305</v>
      </c>
      <c r="AF61" s="32" t="s">
        <v>1306</v>
      </c>
      <c r="AG61" s="32" t="s">
        <v>1307</v>
      </c>
      <c r="AH61" s="32" t="s">
        <v>1308</v>
      </c>
      <c r="AI61" s="32" t="s">
        <v>1309</v>
      </c>
      <c r="AJ61" s="32" t="s">
        <v>1310</v>
      </c>
      <c r="AK61" s="32" t="s">
        <v>1311</v>
      </c>
      <c r="AL61" s="32" t="s">
        <v>1312</v>
      </c>
      <c r="AM61" s="32" t="s">
        <v>1313</v>
      </c>
      <c r="AN61" s="32" t="s">
        <v>1314</v>
      </c>
      <c r="AO61" s="32" t="s">
        <v>1315</v>
      </c>
      <c r="AP61" s="32" t="s">
        <v>1316</v>
      </c>
      <c r="AQ61" s="32" t="s">
        <v>1317</v>
      </c>
      <c r="AR61" s="32" t="s">
        <v>1318</v>
      </c>
      <c r="AS61" s="32" t="s">
        <v>468</v>
      </c>
      <c r="AT61" s="17"/>
    </row>
    <row r="62" spans="1:46" ht="14.25" customHeight="1" x14ac:dyDescent="0.3">
      <c r="A62" s="4">
        <v>13</v>
      </c>
      <c r="B62" s="4" t="s">
        <v>1319</v>
      </c>
      <c r="C62" s="4" t="s">
        <v>1320</v>
      </c>
      <c r="D62" s="4">
        <v>2020</v>
      </c>
      <c r="E62" s="4" t="s">
        <v>1321</v>
      </c>
      <c r="F62" s="4" t="s">
        <v>48</v>
      </c>
      <c r="G62" s="5" t="s">
        <v>49</v>
      </c>
      <c r="H62" s="5" t="s">
        <v>1322</v>
      </c>
      <c r="I62" s="5" t="s">
        <v>1323</v>
      </c>
      <c r="J62" s="5" t="s">
        <v>1324</v>
      </c>
      <c r="K62" s="5" t="s">
        <v>1325</v>
      </c>
      <c r="L62" s="5" t="s">
        <v>1326</v>
      </c>
      <c r="M62" s="5" t="s">
        <v>1327</v>
      </c>
      <c r="N62" s="5" t="s">
        <v>1328</v>
      </c>
      <c r="O62" s="5" t="s">
        <v>1329</v>
      </c>
      <c r="P62" s="5" t="s">
        <v>1330</v>
      </c>
      <c r="Q62" s="5" t="s">
        <v>1331</v>
      </c>
      <c r="R62" s="5" t="s">
        <v>446</v>
      </c>
      <c r="S62" s="5" t="s">
        <v>1332</v>
      </c>
      <c r="T62" s="5" t="s">
        <v>1333</v>
      </c>
      <c r="U62" s="5" t="s">
        <v>1334</v>
      </c>
      <c r="V62" s="5" t="s">
        <v>1335</v>
      </c>
      <c r="W62" s="5" t="s">
        <v>1336</v>
      </c>
      <c r="X62" s="5" t="s">
        <v>1337</v>
      </c>
      <c r="Y62" s="5" t="s">
        <v>446</v>
      </c>
      <c r="Z62" s="5" t="s">
        <v>62</v>
      </c>
      <c r="AA62" s="5" t="s">
        <v>62</v>
      </c>
      <c r="AB62" s="5" t="s">
        <v>1338</v>
      </c>
      <c r="AC62" s="5" t="s">
        <v>1339</v>
      </c>
      <c r="AD62" s="5" t="s">
        <v>1340</v>
      </c>
      <c r="AE62" s="5" t="s">
        <v>1341</v>
      </c>
      <c r="AF62" s="5" t="s">
        <v>1342</v>
      </c>
      <c r="AG62" s="5" t="s">
        <v>1343</v>
      </c>
      <c r="AH62" s="5" t="s">
        <v>1344</v>
      </c>
      <c r="AI62" s="5" t="s">
        <v>1345</v>
      </c>
      <c r="AJ62" s="5" t="s">
        <v>1346</v>
      </c>
      <c r="AK62" s="5" t="s">
        <v>1347</v>
      </c>
      <c r="AL62" s="5" t="s">
        <v>1348</v>
      </c>
      <c r="AM62" s="5" t="s">
        <v>1349</v>
      </c>
      <c r="AN62" s="5" t="s">
        <v>1350</v>
      </c>
      <c r="AO62" s="5" t="s">
        <v>1351</v>
      </c>
      <c r="AP62" s="5" t="s">
        <v>1352</v>
      </c>
      <c r="AQ62" s="5" t="s">
        <v>1353</v>
      </c>
      <c r="AR62" s="5" t="s">
        <v>1354</v>
      </c>
      <c r="AS62" s="5" t="s">
        <v>242</v>
      </c>
      <c r="AT62" s="7"/>
    </row>
    <row r="63" spans="1:46" ht="14.25" customHeight="1" x14ac:dyDescent="0.3">
      <c r="A63" s="4">
        <v>13</v>
      </c>
      <c r="B63" s="4" t="s">
        <v>1319</v>
      </c>
      <c r="C63" s="4" t="s">
        <v>1320</v>
      </c>
      <c r="D63" s="4">
        <v>2021</v>
      </c>
      <c r="E63" s="4" t="s">
        <v>1321</v>
      </c>
      <c r="F63" s="4" t="s">
        <v>48</v>
      </c>
      <c r="G63" s="5" t="s">
        <v>49</v>
      </c>
      <c r="H63" s="5" t="s">
        <v>1322</v>
      </c>
      <c r="I63" s="5" t="s">
        <v>1355</v>
      </c>
      <c r="J63" s="5" t="s">
        <v>1356</v>
      </c>
      <c r="K63" s="5" t="s">
        <v>1325</v>
      </c>
      <c r="L63" s="5" t="s">
        <v>1357</v>
      </c>
      <c r="M63" s="5" t="s">
        <v>1358</v>
      </c>
      <c r="N63" s="5" t="s">
        <v>1359</v>
      </c>
      <c r="O63" s="5" t="s">
        <v>1360</v>
      </c>
      <c r="P63" s="5" t="s">
        <v>1361</v>
      </c>
      <c r="Q63" s="5" t="s">
        <v>1362</v>
      </c>
      <c r="R63" s="5" t="s">
        <v>446</v>
      </c>
      <c r="S63" s="5" t="s">
        <v>1363</v>
      </c>
      <c r="T63" s="5" t="s">
        <v>1364</v>
      </c>
      <c r="U63" s="5" t="s">
        <v>1365</v>
      </c>
      <c r="V63" s="5" t="s">
        <v>1366</v>
      </c>
      <c r="W63" s="5" t="s">
        <v>1367</v>
      </c>
      <c r="X63" s="5" t="s">
        <v>1368</v>
      </c>
      <c r="Y63" s="5" t="s">
        <v>446</v>
      </c>
      <c r="Z63" s="5" t="s">
        <v>62</v>
      </c>
      <c r="AA63" s="5" t="s">
        <v>62</v>
      </c>
      <c r="AB63" s="5" t="s">
        <v>1369</v>
      </c>
      <c r="AC63" s="5" t="s">
        <v>1370</v>
      </c>
      <c r="AD63" s="5" t="s">
        <v>1371</v>
      </c>
      <c r="AE63" s="5" t="s">
        <v>1372</v>
      </c>
      <c r="AF63" s="5" t="s">
        <v>1373</v>
      </c>
      <c r="AG63" s="5" t="s">
        <v>1374</v>
      </c>
      <c r="AH63" s="5" t="s">
        <v>1375</v>
      </c>
      <c r="AI63" s="5" t="s">
        <v>1376</v>
      </c>
      <c r="AJ63" s="5" t="s">
        <v>1377</v>
      </c>
      <c r="AK63" s="5" t="s">
        <v>1378</v>
      </c>
      <c r="AL63" s="5" t="s">
        <v>1379</v>
      </c>
      <c r="AM63" s="5" t="s">
        <v>1380</v>
      </c>
      <c r="AN63" s="5" t="s">
        <v>1381</v>
      </c>
      <c r="AO63" s="5" t="s">
        <v>1382</v>
      </c>
      <c r="AP63" s="5" t="s">
        <v>1383</v>
      </c>
      <c r="AQ63" s="5" t="s">
        <v>1384</v>
      </c>
      <c r="AR63" s="5" t="s">
        <v>1385</v>
      </c>
      <c r="AS63" s="5" t="s">
        <v>270</v>
      </c>
      <c r="AT63" s="7"/>
    </row>
    <row r="64" spans="1:46" ht="14.25" customHeight="1" x14ac:dyDescent="0.3">
      <c r="A64" s="4">
        <v>13</v>
      </c>
      <c r="B64" s="4" t="s">
        <v>1319</v>
      </c>
      <c r="C64" s="4" t="s">
        <v>1320</v>
      </c>
      <c r="D64" s="4">
        <v>2022</v>
      </c>
      <c r="E64" s="4" t="s">
        <v>1321</v>
      </c>
      <c r="F64" s="4" t="s">
        <v>48</v>
      </c>
      <c r="G64" s="5" t="s">
        <v>49</v>
      </c>
      <c r="H64" s="5" t="s">
        <v>1322</v>
      </c>
      <c r="I64" s="5" t="s">
        <v>1386</v>
      </c>
      <c r="J64" s="5" t="s">
        <v>1387</v>
      </c>
      <c r="K64" s="5" t="s">
        <v>1325</v>
      </c>
      <c r="L64" s="5" t="s">
        <v>1388</v>
      </c>
      <c r="M64" s="5" t="s">
        <v>1389</v>
      </c>
      <c r="N64" s="5" t="s">
        <v>1390</v>
      </c>
      <c r="O64" s="5" t="s">
        <v>1391</v>
      </c>
      <c r="P64" s="5" t="s">
        <v>1392</v>
      </c>
      <c r="Q64" s="5" t="s">
        <v>1393</v>
      </c>
      <c r="R64" s="5" t="s">
        <v>446</v>
      </c>
      <c r="S64" s="5" t="s">
        <v>1394</v>
      </c>
      <c r="T64" s="5" t="s">
        <v>1395</v>
      </c>
      <c r="U64" s="5" t="s">
        <v>1396</v>
      </c>
      <c r="V64" s="5" t="s">
        <v>1397</v>
      </c>
      <c r="W64" s="5" t="s">
        <v>1398</v>
      </c>
      <c r="X64" s="5" t="s">
        <v>1399</v>
      </c>
      <c r="Y64" s="5" t="s">
        <v>446</v>
      </c>
      <c r="Z64" s="5" t="s">
        <v>62</v>
      </c>
      <c r="AA64" s="5" t="s">
        <v>62</v>
      </c>
      <c r="AB64" s="5" t="s">
        <v>1400</v>
      </c>
      <c r="AC64" s="5" t="s">
        <v>1401</v>
      </c>
      <c r="AD64" s="5" t="s">
        <v>1402</v>
      </c>
      <c r="AE64" s="5" t="s">
        <v>1403</v>
      </c>
      <c r="AF64" s="5" t="s">
        <v>1404</v>
      </c>
      <c r="AG64" s="5" t="s">
        <v>1405</v>
      </c>
      <c r="AH64" s="5" t="s">
        <v>1406</v>
      </c>
      <c r="AI64" s="5" t="s">
        <v>1407</v>
      </c>
      <c r="AJ64" s="5" t="s">
        <v>1408</v>
      </c>
      <c r="AK64" s="5" t="s">
        <v>1409</v>
      </c>
      <c r="AL64" s="5" t="s">
        <v>1410</v>
      </c>
      <c r="AM64" s="5" t="s">
        <v>1411</v>
      </c>
      <c r="AN64" s="5" t="s">
        <v>1412</v>
      </c>
      <c r="AO64" s="5" t="s">
        <v>1413</v>
      </c>
      <c r="AP64" s="5" t="s">
        <v>323</v>
      </c>
      <c r="AQ64" s="5" t="s">
        <v>1384</v>
      </c>
      <c r="AR64" s="5" t="s">
        <v>1414</v>
      </c>
      <c r="AS64" s="5" t="s">
        <v>298</v>
      </c>
      <c r="AT64" s="7"/>
    </row>
    <row r="65" spans="1:46" ht="14.25" customHeight="1" x14ac:dyDescent="0.3">
      <c r="A65" s="4">
        <v>13</v>
      </c>
      <c r="B65" s="4" t="s">
        <v>1319</v>
      </c>
      <c r="C65" s="4" t="s">
        <v>1320</v>
      </c>
      <c r="D65" s="4">
        <v>2023</v>
      </c>
      <c r="E65" s="4" t="s">
        <v>1321</v>
      </c>
      <c r="F65" s="4" t="s">
        <v>48</v>
      </c>
      <c r="G65" s="5" t="s">
        <v>49</v>
      </c>
      <c r="H65" s="5" t="s">
        <v>1322</v>
      </c>
      <c r="I65" s="5" t="s">
        <v>1386</v>
      </c>
      <c r="J65" s="5" t="s">
        <v>1415</v>
      </c>
      <c r="K65" s="5" t="s">
        <v>1325</v>
      </c>
      <c r="L65" s="5" t="s">
        <v>1416</v>
      </c>
      <c r="M65" s="5" t="s">
        <v>1417</v>
      </c>
      <c r="N65" s="5" t="s">
        <v>1418</v>
      </c>
      <c r="O65" s="5" t="s">
        <v>1419</v>
      </c>
      <c r="P65" s="5" t="s">
        <v>1420</v>
      </c>
      <c r="Q65" s="5" t="s">
        <v>1421</v>
      </c>
      <c r="R65" s="5" t="s">
        <v>446</v>
      </c>
      <c r="S65" s="5" t="s">
        <v>1422</v>
      </c>
      <c r="T65" s="5" t="s">
        <v>1395</v>
      </c>
      <c r="U65" s="5" t="s">
        <v>1423</v>
      </c>
      <c r="V65" s="5" t="s">
        <v>1424</v>
      </c>
      <c r="W65" s="5" t="s">
        <v>1398</v>
      </c>
      <c r="X65" s="5" t="s">
        <v>1399</v>
      </c>
      <c r="Y65" s="5" t="s">
        <v>446</v>
      </c>
      <c r="Z65" s="5" t="s">
        <v>62</v>
      </c>
      <c r="AA65" s="5" t="s">
        <v>62</v>
      </c>
      <c r="AB65" s="5" t="s">
        <v>1425</v>
      </c>
      <c r="AC65" s="5" t="s">
        <v>1426</v>
      </c>
      <c r="AD65" s="5" t="s">
        <v>1427</v>
      </c>
      <c r="AE65" s="5" t="s">
        <v>1428</v>
      </c>
      <c r="AF65" s="5" t="s">
        <v>1429</v>
      </c>
      <c r="AG65" s="5" t="s">
        <v>1430</v>
      </c>
      <c r="AH65" s="5" t="s">
        <v>1431</v>
      </c>
      <c r="AI65" s="5" t="s">
        <v>1432</v>
      </c>
      <c r="AJ65" s="5" t="s">
        <v>1433</v>
      </c>
      <c r="AK65" s="5" t="s">
        <v>1434</v>
      </c>
      <c r="AL65" s="5" t="s">
        <v>1435</v>
      </c>
      <c r="AM65" s="5" t="s">
        <v>1436</v>
      </c>
      <c r="AN65" s="5" t="s">
        <v>1437</v>
      </c>
      <c r="AO65" s="5" t="s">
        <v>1438</v>
      </c>
      <c r="AP65" s="5" t="s">
        <v>1439</v>
      </c>
      <c r="AQ65" s="5" t="s">
        <v>1440</v>
      </c>
      <c r="AR65" s="5" t="s">
        <v>1441</v>
      </c>
      <c r="AS65" s="5" t="s">
        <v>325</v>
      </c>
      <c r="AT65" s="7"/>
    </row>
    <row r="66" spans="1:46" ht="14.25" customHeight="1" x14ac:dyDescent="0.3">
      <c r="A66" s="4">
        <v>13</v>
      </c>
      <c r="B66" s="4" t="s">
        <v>1319</v>
      </c>
      <c r="C66" s="4" t="s">
        <v>1320</v>
      </c>
      <c r="D66" s="4">
        <v>2024</v>
      </c>
      <c r="E66" s="4" t="s">
        <v>1321</v>
      </c>
      <c r="F66" s="4" t="s">
        <v>48</v>
      </c>
      <c r="G66" s="5" t="s">
        <v>49</v>
      </c>
      <c r="H66" s="5" t="s">
        <v>1322</v>
      </c>
      <c r="I66" s="5" t="s">
        <v>1386</v>
      </c>
      <c r="J66" s="5" t="s">
        <v>1415</v>
      </c>
      <c r="K66" s="5" t="s">
        <v>1325</v>
      </c>
      <c r="L66" s="5" t="s">
        <v>1442</v>
      </c>
      <c r="M66" s="5" t="s">
        <v>1443</v>
      </c>
      <c r="N66" s="5" t="s">
        <v>1444</v>
      </c>
      <c r="O66" s="5" t="s">
        <v>1445</v>
      </c>
      <c r="P66" s="5" t="s">
        <v>1446</v>
      </c>
      <c r="Q66" s="5" t="s">
        <v>1447</v>
      </c>
      <c r="R66" s="5" t="s">
        <v>446</v>
      </c>
      <c r="S66" s="5" t="s">
        <v>1448</v>
      </c>
      <c r="T66" s="5" t="s">
        <v>1449</v>
      </c>
      <c r="U66" s="5" t="s">
        <v>1450</v>
      </c>
      <c r="V66" s="5" t="s">
        <v>1451</v>
      </c>
      <c r="W66" s="5" t="s">
        <v>1452</v>
      </c>
      <c r="X66" s="5" t="s">
        <v>1453</v>
      </c>
      <c r="Y66" s="5" t="s">
        <v>446</v>
      </c>
      <c r="Z66" s="5" t="s">
        <v>62</v>
      </c>
      <c r="AA66" s="5" t="s">
        <v>62</v>
      </c>
      <c r="AB66" s="5" t="s">
        <v>1454</v>
      </c>
      <c r="AC66" s="5" t="s">
        <v>1455</v>
      </c>
      <c r="AD66" s="5" t="s">
        <v>1456</v>
      </c>
      <c r="AE66" s="5" t="s">
        <v>1457</v>
      </c>
      <c r="AF66" s="5" t="s">
        <v>1458</v>
      </c>
      <c r="AG66" s="5" t="s">
        <v>1459</v>
      </c>
      <c r="AH66" s="5" t="s">
        <v>1460</v>
      </c>
      <c r="AI66" s="5" t="s">
        <v>1461</v>
      </c>
      <c r="AJ66" s="5" t="s">
        <v>1462</v>
      </c>
      <c r="AK66" s="5" t="s">
        <v>1463</v>
      </c>
      <c r="AL66" s="5" t="s">
        <v>1464</v>
      </c>
      <c r="AM66" s="5" t="s">
        <v>1465</v>
      </c>
      <c r="AN66" s="5" t="s">
        <v>1466</v>
      </c>
      <c r="AO66" s="5" t="s">
        <v>1467</v>
      </c>
      <c r="AP66" s="5" t="s">
        <v>1468</v>
      </c>
      <c r="AQ66" s="5" t="s">
        <v>1469</v>
      </c>
      <c r="AR66" s="5" t="s">
        <v>1470</v>
      </c>
      <c r="AS66" s="5" t="s">
        <v>1471</v>
      </c>
      <c r="AT66" s="7"/>
    </row>
    <row r="67" spans="1:46" ht="14.25" customHeight="1" x14ac:dyDescent="0.3">
      <c r="A67" s="10">
        <v>14</v>
      </c>
      <c r="B67" s="10" t="s">
        <v>1472</v>
      </c>
      <c r="C67" s="10" t="s">
        <v>1473</v>
      </c>
      <c r="D67" s="10">
        <v>2020</v>
      </c>
      <c r="E67" s="10" t="s">
        <v>1474</v>
      </c>
      <c r="F67" s="10" t="s">
        <v>48</v>
      </c>
      <c r="G67" s="32" t="s">
        <v>1475</v>
      </c>
      <c r="H67" s="32" t="s">
        <v>446</v>
      </c>
      <c r="I67" s="32" t="s">
        <v>1476</v>
      </c>
      <c r="J67" s="32" t="s">
        <v>1477</v>
      </c>
      <c r="K67" s="32" t="s">
        <v>1478</v>
      </c>
      <c r="L67" s="32" t="s">
        <v>1479</v>
      </c>
      <c r="M67" s="32" t="s">
        <v>1480</v>
      </c>
      <c r="N67" s="32" t="s">
        <v>1481</v>
      </c>
      <c r="O67" s="32" t="s">
        <v>1482</v>
      </c>
      <c r="P67" s="32" t="s">
        <v>1483</v>
      </c>
      <c r="Q67" s="32" t="s">
        <v>1484</v>
      </c>
      <c r="R67" s="32" t="s">
        <v>1485</v>
      </c>
      <c r="S67" s="32" t="s">
        <v>1486</v>
      </c>
      <c r="T67" s="32" t="s">
        <v>1487</v>
      </c>
      <c r="U67" s="32" t="s">
        <v>1488</v>
      </c>
      <c r="V67" s="32" t="s">
        <v>1489</v>
      </c>
      <c r="W67" s="32" t="s">
        <v>1490</v>
      </c>
      <c r="X67" s="32" t="s">
        <v>1491</v>
      </c>
      <c r="Y67" s="32" t="s">
        <v>446</v>
      </c>
      <c r="Z67" s="32" t="s">
        <v>62</v>
      </c>
      <c r="AA67" s="32" t="s">
        <v>62</v>
      </c>
      <c r="AB67" s="32" t="s">
        <v>1492</v>
      </c>
      <c r="AC67" s="32" t="s">
        <v>1493</v>
      </c>
      <c r="AD67" s="32" t="s">
        <v>1494</v>
      </c>
      <c r="AE67" s="32" t="s">
        <v>1495</v>
      </c>
      <c r="AF67" s="32" t="s">
        <v>1496</v>
      </c>
      <c r="AG67" s="32" t="s">
        <v>1497</v>
      </c>
      <c r="AH67" s="32" t="s">
        <v>1498</v>
      </c>
      <c r="AI67" s="32" t="s">
        <v>1499</v>
      </c>
      <c r="AJ67" s="32" t="s">
        <v>1500</v>
      </c>
      <c r="AK67" s="32" t="s">
        <v>1501</v>
      </c>
      <c r="AL67" s="32" t="s">
        <v>1502</v>
      </c>
      <c r="AM67" s="32" t="s">
        <v>1503</v>
      </c>
      <c r="AN67" s="32" t="s">
        <v>1504</v>
      </c>
      <c r="AO67" s="32" t="s">
        <v>1505</v>
      </c>
      <c r="AP67" s="32" t="s">
        <v>1506</v>
      </c>
      <c r="AQ67" s="32" t="s">
        <v>1507</v>
      </c>
      <c r="AR67" s="32" t="s">
        <v>1508</v>
      </c>
      <c r="AS67" s="32" t="s">
        <v>508</v>
      </c>
      <c r="AT67" s="17"/>
    </row>
    <row r="68" spans="1:46" ht="14.25" customHeight="1" x14ac:dyDescent="0.3">
      <c r="A68" s="10">
        <v>14</v>
      </c>
      <c r="B68" s="10" t="s">
        <v>1472</v>
      </c>
      <c r="C68" s="10" t="s">
        <v>1473</v>
      </c>
      <c r="D68" s="10">
        <v>2021</v>
      </c>
      <c r="E68" s="10" t="s">
        <v>1474</v>
      </c>
      <c r="F68" s="10" t="s">
        <v>48</v>
      </c>
      <c r="G68" s="34" t="s">
        <v>1475</v>
      </c>
      <c r="H68" s="32" t="s">
        <v>446</v>
      </c>
      <c r="I68" s="32" t="s">
        <v>1509</v>
      </c>
      <c r="J68" s="32" t="s">
        <v>1510</v>
      </c>
      <c r="K68" s="32" t="s">
        <v>1478</v>
      </c>
      <c r="L68" s="32" t="s">
        <v>1511</v>
      </c>
      <c r="M68" s="32" t="s">
        <v>1512</v>
      </c>
      <c r="N68" s="32" t="s">
        <v>1513</v>
      </c>
      <c r="O68" s="32" t="s">
        <v>1514</v>
      </c>
      <c r="P68" s="32" t="s">
        <v>1515</v>
      </c>
      <c r="Q68" s="32" t="s">
        <v>1516</v>
      </c>
      <c r="R68" s="32" t="s">
        <v>1517</v>
      </c>
      <c r="S68" s="32" t="s">
        <v>1518</v>
      </c>
      <c r="T68" s="32" t="s">
        <v>1519</v>
      </c>
      <c r="U68" s="32" t="s">
        <v>1520</v>
      </c>
      <c r="V68" s="32" t="s">
        <v>1521</v>
      </c>
      <c r="W68" s="32" t="s">
        <v>1522</v>
      </c>
      <c r="X68" s="32" t="s">
        <v>1523</v>
      </c>
      <c r="Y68" s="32" t="s">
        <v>446</v>
      </c>
      <c r="Z68" s="32" t="s">
        <v>62</v>
      </c>
      <c r="AA68" s="32" t="s">
        <v>62</v>
      </c>
      <c r="AB68" s="32" t="s">
        <v>1524</v>
      </c>
      <c r="AC68" s="32" t="s">
        <v>1525</v>
      </c>
      <c r="AD68" s="32" t="s">
        <v>1526</v>
      </c>
      <c r="AE68" s="32" t="s">
        <v>1527</v>
      </c>
      <c r="AF68" s="32" t="s">
        <v>1528</v>
      </c>
      <c r="AG68" s="32" t="s">
        <v>1529</v>
      </c>
      <c r="AH68" s="32" t="s">
        <v>1530</v>
      </c>
      <c r="AI68" s="32" t="s">
        <v>1531</v>
      </c>
      <c r="AJ68" s="32" t="s">
        <v>1223</v>
      </c>
      <c r="AK68" s="32" t="s">
        <v>1532</v>
      </c>
      <c r="AL68" s="32" t="s">
        <v>1533</v>
      </c>
      <c r="AM68" s="32" t="s">
        <v>1534</v>
      </c>
      <c r="AN68" s="32" t="s">
        <v>1535</v>
      </c>
      <c r="AO68" s="32" t="s">
        <v>1536</v>
      </c>
      <c r="AP68" s="32" t="s">
        <v>1537</v>
      </c>
      <c r="AQ68" s="32" t="s">
        <v>1538</v>
      </c>
      <c r="AR68" s="32" t="s">
        <v>1539</v>
      </c>
      <c r="AS68" s="32" t="s">
        <v>530</v>
      </c>
      <c r="AT68" s="17"/>
    </row>
    <row r="69" spans="1:46" ht="14.25" customHeight="1" x14ac:dyDescent="0.3">
      <c r="A69" s="10">
        <v>14</v>
      </c>
      <c r="B69" s="10" t="s">
        <v>1472</v>
      </c>
      <c r="C69" s="10" t="s">
        <v>1473</v>
      </c>
      <c r="D69" s="10">
        <v>2022</v>
      </c>
      <c r="E69" s="10" t="s">
        <v>1474</v>
      </c>
      <c r="F69" s="10" t="s">
        <v>48</v>
      </c>
      <c r="G69" s="32" t="s">
        <v>1540</v>
      </c>
      <c r="H69" s="32" t="s">
        <v>446</v>
      </c>
      <c r="I69" s="32" t="s">
        <v>1541</v>
      </c>
      <c r="J69" s="32" t="s">
        <v>1542</v>
      </c>
      <c r="K69" s="32" t="s">
        <v>1543</v>
      </c>
      <c r="L69" s="32" t="s">
        <v>1544</v>
      </c>
      <c r="M69" s="32" t="s">
        <v>1545</v>
      </c>
      <c r="N69" s="32" t="s">
        <v>1546</v>
      </c>
      <c r="O69" s="32" t="s">
        <v>1547</v>
      </c>
      <c r="P69" s="32" t="s">
        <v>1548</v>
      </c>
      <c r="Q69" s="32" t="s">
        <v>1549</v>
      </c>
      <c r="R69" s="32" t="s">
        <v>1550</v>
      </c>
      <c r="S69" s="32" t="s">
        <v>1551</v>
      </c>
      <c r="T69" s="32" t="s">
        <v>1552</v>
      </c>
      <c r="U69" s="32" t="s">
        <v>1553</v>
      </c>
      <c r="V69" s="32" t="s">
        <v>1554</v>
      </c>
      <c r="W69" s="32" t="s">
        <v>1555</v>
      </c>
      <c r="X69" s="32" t="s">
        <v>1556</v>
      </c>
      <c r="Y69" s="32" t="s">
        <v>1557</v>
      </c>
      <c r="Z69" s="32" t="s">
        <v>62</v>
      </c>
      <c r="AA69" s="32" t="s">
        <v>62</v>
      </c>
      <c r="AB69" s="32" t="s">
        <v>1558</v>
      </c>
      <c r="AC69" s="32" t="s">
        <v>1559</v>
      </c>
      <c r="AD69" s="32" t="s">
        <v>1560</v>
      </c>
      <c r="AE69" s="32" t="s">
        <v>1561</v>
      </c>
      <c r="AF69" s="32" t="s">
        <v>1562</v>
      </c>
      <c r="AG69" s="32" t="s">
        <v>1563</v>
      </c>
      <c r="AH69" s="32" t="s">
        <v>1564</v>
      </c>
      <c r="AI69" s="32" t="s">
        <v>1565</v>
      </c>
      <c r="AJ69" s="32" t="s">
        <v>1566</v>
      </c>
      <c r="AK69" s="32" t="s">
        <v>1567</v>
      </c>
      <c r="AL69" s="32" t="s">
        <v>1568</v>
      </c>
      <c r="AM69" s="32" t="s">
        <v>1569</v>
      </c>
      <c r="AN69" s="32" t="s">
        <v>1570</v>
      </c>
      <c r="AO69" s="32" t="s">
        <v>1571</v>
      </c>
      <c r="AP69" s="32" t="s">
        <v>1572</v>
      </c>
      <c r="AQ69" s="32" t="s">
        <v>1573</v>
      </c>
      <c r="AR69" s="32" t="s">
        <v>1574</v>
      </c>
      <c r="AS69" s="32" t="s">
        <v>555</v>
      </c>
      <c r="AT69" s="17"/>
    </row>
    <row r="70" spans="1:46" ht="14.25" customHeight="1" x14ac:dyDescent="0.3">
      <c r="A70" s="10">
        <v>14</v>
      </c>
      <c r="B70" s="10" t="s">
        <v>1472</v>
      </c>
      <c r="C70" s="10" t="s">
        <v>1473</v>
      </c>
      <c r="D70" s="10">
        <v>2023</v>
      </c>
      <c r="E70" s="10" t="s">
        <v>1474</v>
      </c>
      <c r="F70" s="10" t="s">
        <v>48</v>
      </c>
      <c r="G70" s="32" t="s">
        <v>1575</v>
      </c>
      <c r="H70" s="32" t="s">
        <v>446</v>
      </c>
      <c r="I70" s="32" t="s">
        <v>1576</v>
      </c>
      <c r="J70" s="32" t="s">
        <v>1577</v>
      </c>
      <c r="K70" s="32" t="s">
        <v>1578</v>
      </c>
      <c r="L70" s="32" t="s">
        <v>1579</v>
      </c>
      <c r="M70" s="32" t="s">
        <v>1580</v>
      </c>
      <c r="N70" s="32" t="s">
        <v>1581</v>
      </c>
      <c r="O70" s="32" t="s">
        <v>1582</v>
      </c>
      <c r="P70" s="32" t="s">
        <v>1583</v>
      </c>
      <c r="Q70" s="32" t="s">
        <v>1584</v>
      </c>
      <c r="R70" s="32" t="s">
        <v>1585</v>
      </c>
      <c r="S70" s="32" t="s">
        <v>1586</v>
      </c>
      <c r="T70" s="32" t="s">
        <v>1587</v>
      </c>
      <c r="U70" s="32" t="s">
        <v>1588</v>
      </c>
      <c r="V70" s="32" t="s">
        <v>1589</v>
      </c>
      <c r="W70" s="32" t="s">
        <v>1590</v>
      </c>
      <c r="X70" s="32" t="s">
        <v>1591</v>
      </c>
      <c r="Y70" s="32" t="s">
        <v>446</v>
      </c>
      <c r="Z70" s="32" t="s">
        <v>62</v>
      </c>
      <c r="AA70" s="32" t="s">
        <v>62</v>
      </c>
      <c r="AB70" s="32" t="s">
        <v>1592</v>
      </c>
      <c r="AC70" s="32" t="s">
        <v>1593</v>
      </c>
      <c r="AD70" s="32" t="s">
        <v>1594</v>
      </c>
      <c r="AE70" s="32" t="s">
        <v>1595</v>
      </c>
      <c r="AF70" s="32" t="s">
        <v>1596</v>
      </c>
      <c r="AG70" s="32" t="s">
        <v>1597</v>
      </c>
      <c r="AH70" s="32" t="s">
        <v>1598</v>
      </c>
      <c r="AI70" s="32" t="s">
        <v>1599</v>
      </c>
      <c r="AJ70" s="32" t="s">
        <v>1600</v>
      </c>
      <c r="AK70" s="17" t="s">
        <v>1601</v>
      </c>
      <c r="AL70" s="32" t="s">
        <v>1602</v>
      </c>
      <c r="AM70" s="32" t="s">
        <v>1603</v>
      </c>
      <c r="AN70" s="32" t="s">
        <v>1604</v>
      </c>
      <c r="AO70" s="32" t="s">
        <v>1605</v>
      </c>
      <c r="AP70" s="32" t="s">
        <v>1606</v>
      </c>
      <c r="AQ70" s="32" t="s">
        <v>1607</v>
      </c>
      <c r="AR70" s="32" t="s">
        <v>1608</v>
      </c>
      <c r="AS70" s="32" t="s">
        <v>1609</v>
      </c>
      <c r="AT70" s="17"/>
    </row>
    <row r="71" spans="1:46" ht="14.25" customHeight="1" x14ac:dyDescent="0.3">
      <c r="A71" s="10">
        <v>14</v>
      </c>
      <c r="B71" s="10" t="s">
        <v>1472</v>
      </c>
      <c r="C71" s="10" t="s">
        <v>1473</v>
      </c>
      <c r="D71" s="10">
        <v>2024</v>
      </c>
      <c r="E71" s="10" t="s">
        <v>1474</v>
      </c>
      <c r="F71" s="10" t="s">
        <v>48</v>
      </c>
      <c r="G71" s="32" t="s">
        <v>1610</v>
      </c>
      <c r="H71" s="32" t="s">
        <v>446</v>
      </c>
      <c r="I71" s="32" t="s">
        <v>1576</v>
      </c>
      <c r="J71" s="32" t="s">
        <v>1577</v>
      </c>
      <c r="K71" s="32" t="s">
        <v>1611</v>
      </c>
      <c r="L71" s="32" t="s">
        <v>1612</v>
      </c>
      <c r="M71" s="32" t="s">
        <v>1613</v>
      </c>
      <c r="N71" s="32" t="s">
        <v>1614</v>
      </c>
      <c r="O71" s="17" t="s">
        <v>1615</v>
      </c>
      <c r="P71" s="32" t="s">
        <v>1616</v>
      </c>
      <c r="Q71" s="32" t="s">
        <v>1617</v>
      </c>
      <c r="R71" s="32" t="s">
        <v>1618</v>
      </c>
      <c r="S71" s="32" t="s">
        <v>1619</v>
      </c>
      <c r="T71" s="32" t="s">
        <v>1620</v>
      </c>
      <c r="U71" s="32" t="s">
        <v>1621</v>
      </c>
      <c r="V71" s="32" t="s">
        <v>1622</v>
      </c>
      <c r="W71" s="32" t="s">
        <v>1623</v>
      </c>
      <c r="X71" s="32" t="s">
        <v>1624</v>
      </c>
      <c r="Y71" s="32" t="s">
        <v>446</v>
      </c>
      <c r="Z71" s="32" t="s">
        <v>62</v>
      </c>
      <c r="AA71" s="32" t="s">
        <v>62</v>
      </c>
      <c r="AB71" s="28">
        <v>2112.92</v>
      </c>
      <c r="AC71" s="32" t="s">
        <v>1625</v>
      </c>
      <c r="AD71" s="32" t="s">
        <v>1626</v>
      </c>
      <c r="AE71" s="32" t="s">
        <v>1627</v>
      </c>
      <c r="AF71" s="32" t="s">
        <v>1628</v>
      </c>
      <c r="AG71" s="32" t="s">
        <v>1629</v>
      </c>
      <c r="AH71" s="32" t="s">
        <v>1630</v>
      </c>
      <c r="AI71" s="32" t="s">
        <v>1631</v>
      </c>
      <c r="AJ71" s="32" t="s">
        <v>1632</v>
      </c>
      <c r="AK71" s="17" t="s">
        <v>1633</v>
      </c>
      <c r="AL71" s="32" t="s">
        <v>1634</v>
      </c>
      <c r="AM71" s="32" t="s">
        <v>1635</v>
      </c>
      <c r="AN71" s="32" t="s">
        <v>1636</v>
      </c>
      <c r="AO71" s="32" t="s">
        <v>1637</v>
      </c>
      <c r="AP71" s="32" t="s">
        <v>1638</v>
      </c>
      <c r="AQ71" s="32" t="s">
        <v>1607</v>
      </c>
      <c r="AR71" s="32" t="s">
        <v>1639</v>
      </c>
      <c r="AS71" s="32" t="s">
        <v>1640</v>
      </c>
      <c r="AT71" s="17"/>
    </row>
    <row r="72" spans="1:46" ht="14.25" customHeight="1" x14ac:dyDescent="0.3">
      <c r="A72" s="4">
        <v>15</v>
      </c>
      <c r="B72" s="35" t="s">
        <v>1641</v>
      </c>
      <c r="C72" s="4" t="s">
        <v>1642</v>
      </c>
      <c r="D72" s="4">
        <v>2020</v>
      </c>
      <c r="E72" s="4" t="s">
        <v>47</v>
      </c>
      <c r="F72" s="4" t="s">
        <v>48</v>
      </c>
      <c r="G72" s="5" t="s">
        <v>1643</v>
      </c>
      <c r="H72" s="5" t="s">
        <v>446</v>
      </c>
      <c r="I72" s="5" t="s">
        <v>1290</v>
      </c>
      <c r="J72" s="5" t="s">
        <v>1290</v>
      </c>
      <c r="K72" s="5" t="s">
        <v>1644</v>
      </c>
      <c r="L72" s="5" t="s">
        <v>1645</v>
      </c>
      <c r="M72" s="5" t="s">
        <v>1646</v>
      </c>
      <c r="N72" s="5" t="s">
        <v>1647</v>
      </c>
      <c r="O72" s="5" t="s">
        <v>446</v>
      </c>
      <c r="P72" s="5" t="s">
        <v>1648</v>
      </c>
      <c r="Q72" s="5" t="s">
        <v>446</v>
      </c>
      <c r="R72" s="5" t="s">
        <v>1649</v>
      </c>
      <c r="S72" s="5" t="s">
        <v>1650</v>
      </c>
      <c r="T72" s="5" t="s">
        <v>1651</v>
      </c>
      <c r="U72" s="5" t="s">
        <v>446</v>
      </c>
      <c r="V72" s="5" t="s">
        <v>446</v>
      </c>
      <c r="W72" s="5" t="s">
        <v>1652</v>
      </c>
      <c r="X72" s="5" t="s">
        <v>1653</v>
      </c>
      <c r="Y72" s="5" t="s">
        <v>446</v>
      </c>
      <c r="Z72" s="5" t="s">
        <v>333</v>
      </c>
      <c r="AA72" s="5" t="s">
        <v>333</v>
      </c>
      <c r="AB72" s="5" t="s">
        <v>1654</v>
      </c>
      <c r="AC72" s="5" t="s">
        <v>1655</v>
      </c>
      <c r="AD72" s="7" t="s">
        <v>455</v>
      </c>
      <c r="AE72" s="5" t="s">
        <v>1656</v>
      </c>
      <c r="AF72" s="5" t="s">
        <v>1657</v>
      </c>
      <c r="AG72" s="5" t="s">
        <v>1658</v>
      </c>
      <c r="AH72" s="5" t="s">
        <v>1659</v>
      </c>
      <c r="AI72" s="5" t="s">
        <v>1660</v>
      </c>
      <c r="AJ72" s="5" t="s">
        <v>187</v>
      </c>
      <c r="AK72" s="5" t="s">
        <v>1661</v>
      </c>
      <c r="AL72" s="5" t="s">
        <v>1662</v>
      </c>
      <c r="AM72" s="7">
        <v>-12.85</v>
      </c>
      <c r="AN72" s="5" t="s">
        <v>446</v>
      </c>
      <c r="AO72" s="5" t="s">
        <v>446</v>
      </c>
      <c r="AP72" s="5" t="s">
        <v>1663</v>
      </c>
      <c r="AQ72" s="5" t="s">
        <v>1664</v>
      </c>
      <c r="AR72" s="5" t="s">
        <v>1665</v>
      </c>
      <c r="AS72" s="5" t="s">
        <v>102</v>
      </c>
      <c r="AT72" s="7"/>
    </row>
    <row r="73" spans="1:46" ht="14.25" customHeight="1" x14ac:dyDescent="0.3">
      <c r="A73" s="4">
        <v>15</v>
      </c>
      <c r="B73" s="35" t="s">
        <v>1641</v>
      </c>
      <c r="C73" s="4" t="s">
        <v>1642</v>
      </c>
      <c r="D73" s="4">
        <v>2021</v>
      </c>
      <c r="E73" s="4" t="s">
        <v>47</v>
      </c>
      <c r="F73" s="4" t="s">
        <v>48</v>
      </c>
      <c r="G73" s="5" t="s">
        <v>1666</v>
      </c>
      <c r="H73" s="5" t="s">
        <v>446</v>
      </c>
      <c r="I73" s="5" t="s">
        <v>1290</v>
      </c>
      <c r="J73" s="5" t="s">
        <v>1667</v>
      </c>
      <c r="K73" s="5" t="s">
        <v>1668</v>
      </c>
      <c r="L73" s="5" t="s">
        <v>446</v>
      </c>
      <c r="M73" s="5" t="s">
        <v>1669</v>
      </c>
      <c r="N73" s="5" t="s">
        <v>1670</v>
      </c>
      <c r="O73" s="5" t="s">
        <v>446</v>
      </c>
      <c r="P73" s="5" t="s">
        <v>1671</v>
      </c>
      <c r="Q73" s="5" t="s">
        <v>446</v>
      </c>
      <c r="R73" s="5" t="s">
        <v>1672</v>
      </c>
      <c r="S73" s="5" t="s">
        <v>1673</v>
      </c>
      <c r="T73" s="5" t="s">
        <v>1674</v>
      </c>
      <c r="U73" s="5" t="s">
        <v>446</v>
      </c>
      <c r="V73" s="5" t="s">
        <v>446</v>
      </c>
      <c r="W73" s="5" t="s">
        <v>1675</v>
      </c>
      <c r="X73" s="5" t="s">
        <v>1671</v>
      </c>
      <c r="Y73" s="5" t="s">
        <v>446</v>
      </c>
      <c r="Z73" s="5" t="s">
        <v>333</v>
      </c>
      <c r="AA73" s="5" t="s">
        <v>333</v>
      </c>
      <c r="AB73" s="5" t="s">
        <v>1676</v>
      </c>
      <c r="AC73" s="5" t="s">
        <v>1677</v>
      </c>
      <c r="AD73" s="7" t="s">
        <v>455</v>
      </c>
      <c r="AE73" s="5" t="s">
        <v>1678</v>
      </c>
      <c r="AF73" s="5" t="s">
        <v>1679</v>
      </c>
      <c r="AG73" s="5" t="s">
        <v>1680</v>
      </c>
      <c r="AH73" s="5" t="s">
        <v>1681</v>
      </c>
      <c r="AI73" s="5" t="s">
        <v>1682</v>
      </c>
      <c r="AJ73" s="5" t="s">
        <v>446</v>
      </c>
      <c r="AK73" s="5" t="s">
        <v>1683</v>
      </c>
      <c r="AL73" s="5" t="s">
        <v>1678</v>
      </c>
      <c r="AM73" s="7">
        <v>83.75</v>
      </c>
      <c r="AN73" s="5" t="s">
        <v>446</v>
      </c>
      <c r="AO73" s="5" t="s">
        <v>446</v>
      </c>
      <c r="AP73" s="5" t="s">
        <v>1684</v>
      </c>
      <c r="AQ73" s="5" t="s">
        <v>1685</v>
      </c>
      <c r="AR73" s="5" t="s">
        <v>1686</v>
      </c>
      <c r="AS73" s="5" t="s">
        <v>128</v>
      </c>
      <c r="AT73" s="7"/>
    </row>
    <row r="74" spans="1:46" ht="14.25" customHeight="1" x14ac:dyDescent="0.3">
      <c r="A74" s="4">
        <v>15</v>
      </c>
      <c r="B74" s="35" t="s">
        <v>1641</v>
      </c>
      <c r="C74" s="4" t="s">
        <v>1642</v>
      </c>
      <c r="D74" s="4">
        <v>2022</v>
      </c>
      <c r="E74" s="4" t="s">
        <v>47</v>
      </c>
      <c r="F74" s="4" t="s">
        <v>48</v>
      </c>
      <c r="G74" s="5" t="s">
        <v>1687</v>
      </c>
      <c r="H74" s="5" t="s">
        <v>446</v>
      </c>
      <c r="I74" s="5" t="s">
        <v>1290</v>
      </c>
      <c r="J74" s="5" t="s">
        <v>1688</v>
      </c>
      <c r="K74" s="5" t="s">
        <v>1689</v>
      </c>
      <c r="L74" s="5" t="s">
        <v>1690</v>
      </c>
      <c r="M74" s="5" t="s">
        <v>1690</v>
      </c>
      <c r="N74" s="5" t="s">
        <v>1691</v>
      </c>
      <c r="O74" s="5" t="s">
        <v>446</v>
      </c>
      <c r="P74" s="5" t="s">
        <v>1692</v>
      </c>
      <c r="Q74" s="5" t="s">
        <v>446</v>
      </c>
      <c r="R74" s="5" t="s">
        <v>1693</v>
      </c>
      <c r="S74" s="5" t="s">
        <v>1694</v>
      </c>
      <c r="T74" s="5" t="s">
        <v>1695</v>
      </c>
      <c r="U74" s="5" t="s">
        <v>1696</v>
      </c>
      <c r="V74" s="5" t="s">
        <v>446</v>
      </c>
      <c r="W74" s="5" t="s">
        <v>1697</v>
      </c>
      <c r="X74" s="5" t="s">
        <v>1698</v>
      </c>
      <c r="Y74" s="5" t="s">
        <v>446</v>
      </c>
      <c r="Z74" s="5" t="s">
        <v>62</v>
      </c>
      <c r="AA74" s="5" t="s">
        <v>62</v>
      </c>
      <c r="AB74" s="5" t="s">
        <v>1699</v>
      </c>
      <c r="AC74" s="5" t="s">
        <v>1700</v>
      </c>
      <c r="AD74" s="7" t="s">
        <v>455</v>
      </c>
      <c r="AE74" s="5" t="s">
        <v>1701</v>
      </c>
      <c r="AF74" s="5" t="s">
        <v>1702</v>
      </c>
      <c r="AG74" s="5" t="s">
        <v>446</v>
      </c>
      <c r="AH74" s="5" t="s">
        <v>1703</v>
      </c>
      <c r="AI74" s="5" t="s">
        <v>1704</v>
      </c>
      <c r="AJ74" s="5" t="s">
        <v>1705</v>
      </c>
      <c r="AK74" s="5" t="s">
        <v>1706</v>
      </c>
      <c r="AL74" s="5" t="s">
        <v>1707</v>
      </c>
      <c r="AM74" s="7">
        <v>117.32</v>
      </c>
      <c r="AN74" s="5" t="s">
        <v>446</v>
      </c>
      <c r="AO74" s="5" t="s">
        <v>446</v>
      </c>
      <c r="AP74" s="5" t="s">
        <v>1708</v>
      </c>
      <c r="AQ74" s="5" t="s">
        <v>725</v>
      </c>
      <c r="AR74" s="5" t="s">
        <v>1709</v>
      </c>
      <c r="AS74" s="5" t="s">
        <v>153</v>
      </c>
      <c r="AT74" s="7"/>
    </row>
    <row r="75" spans="1:46" ht="14.25" customHeight="1" x14ac:dyDescent="0.3">
      <c r="A75" s="4">
        <v>15</v>
      </c>
      <c r="B75" s="35" t="s">
        <v>1641</v>
      </c>
      <c r="C75" s="4" t="s">
        <v>1642</v>
      </c>
      <c r="D75" s="4">
        <v>2023</v>
      </c>
      <c r="E75" s="4" t="s">
        <v>47</v>
      </c>
      <c r="F75" s="4" t="s">
        <v>48</v>
      </c>
      <c r="G75" s="5" t="s">
        <v>1710</v>
      </c>
      <c r="H75" s="5" t="s">
        <v>446</v>
      </c>
      <c r="I75" s="5" t="s">
        <v>1711</v>
      </c>
      <c r="J75" s="5" t="s">
        <v>1712</v>
      </c>
      <c r="K75" s="5" t="s">
        <v>1689</v>
      </c>
      <c r="L75" s="5" t="s">
        <v>1713</v>
      </c>
      <c r="M75" s="5" t="s">
        <v>1713</v>
      </c>
      <c r="N75" s="5" t="s">
        <v>1714</v>
      </c>
      <c r="O75" s="5" t="s">
        <v>446</v>
      </c>
      <c r="P75" s="5" t="s">
        <v>1715</v>
      </c>
      <c r="Q75" s="5" t="s">
        <v>446</v>
      </c>
      <c r="R75" s="5" t="s">
        <v>1716</v>
      </c>
      <c r="S75" s="5" t="s">
        <v>1717</v>
      </c>
      <c r="T75" s="5" t="s">
        <v>1718</v>
      </c>
      <c r="U75" s="5" t="s">
        <v>1719</v>
      </c>
      <c r="V75" s="5" t="s">
        <v>446</v>
      </c>
      <c r="W75" s="5" t="s">
        <v>1720</v>
      </c>
      <c r="X75" s="5" t="s">
        <v>1721</v>
      </c>
      <c r="Y75" s="5" t="s">
        <v>446</v>
      </c>
      <c r="Z75" s="5" t="s">
        <v>62</v>
      </c>
      <c r="AA75" s="5" t="s">
        <v>62</v>
      </c>
      <c r="AB75" s="5" t="s">
        <v>1722</v>
      </c>
      <c r="AC75" s="5" t="s">
        <v>1723</v>
      </c>
      <c r="AD75" s="7" t="s">
        <v>455</v>
      </c>
      <c r="AE75" s="5" t="s">
        <v>1724</v>
      </c>
      <c r="AF75" s="5" t="s">
        <v>1725</v>
      </c>
      <c r="AG75" s="5" t="s">
        <v>446</v>
      </c>
      <c r="AH75" s="5" t="s">
        <v>1726</v>
      </c>
      <c r="AI75" s="5" t="s">
        <v>1270</v>
      </c>
      <c r="AJ75" s="5" t="s">
        <v>1727</v>
      </c>
      <c r="AK75" s="5" t="s">
        <v>1728</v>
      </c>
      <c r="AL75" s="5" t="s">
        <v>1729</v>
      </c>
      <c r="AM75" s="7">
        <v>-5.4</v>
      </c>
      <c r="AN75" s="5" t="s">
        <v>446</v>
      </c>
      <c r="AO75" s="5" t="s">
        <v>446</v>
      </c>
      <c r="AP75" s="5" t="s">
        <v>1730</v>
      </c>
      <c r="AQ75" s="5" t="s">
        <v>1204</v>
      </c>
      <c r="AR75" s="5" t="s">
        <v>1731</v>
      </c>
      <c r="AS75" s="5" t="s">
        <v>178</v>
      </c>
      <c r="AT75" s="7"/>
    </row>
    <row r="76" spans="1:46" ht="14.25" customHeight="1" x14ac:dyDescent="0.3">
      <c r="A76" s="4">
        <v>15</v>
      </c>
      <c r="B76" s="35" t="s">
        <v>1641</v>
      </c>
      <c r="C76" s="4" t="s">
        <v>1642</v>
      </c>
      <c r="D76" s="4">
        <v>2024</v>
      </c>
      <c r="E76" s="4" t="s">
        <v>47</v>
      </c>
      <c r="F76" s="4" t="s">
        <v>48</v>
      </c>
      <c r="G76" s="5" t="s">
        <v>1710</v>
      </c>
      <c r="H76" s="5" t="s">
        <v>446</v>
      </c>
      <c r="I76" s="5" t="s">
        <v>1711</v>
      </c>
      <c r="J76" s="5" t="s">
        <v>1712</v>
      </c>
      <c r="K76" s="5" t="s">
        <v>1689</v>
      </c>
      <c r="L76" s="5" t="s">
        <v>187</v>
      </c>
      <c r="M76" s="5" t="s">
        <v>1258</v>
      </c>
      <c r="N76" s="5" t="s">
        <v>1732</v>
      </c>
      <c r="O76" s="5" t="s">
        <v>446</v>
      </c>
      <c r="P76" s="5" t="s">
        <v>1733</v>
      </c>
      <c r="Q76" s="5" t="s">
        <v>446</v>
      </c>
      <c r="R76" s="5" t="s">
        <v>1734</v>
      </c>
      <c r="S76" s="5" t="s">
        <v>1735</v>
      </c>
      <c r="T76" s="5" t="s">
        <v>1258</v>
      </c>
      <c r="U76" s="5" t="s">
        <v>446</v>
      </c>
      <c r="V76" s="5" t="s">
        <v>446</v>
      </c>
      <c r="W76" s="5" t="s">
        <v>1736</v>
      </c>
      <c r="X76" s="5" t="s">
        <v>1733</v>
      </c>
      <c r="Y76" s="5" t="s">
        <v>446</v>
      </c>
      <c r="Z76" s="5" t="s">
        <v>333</v>
      </c>
      <c r="AA76" s="5" t="s">
        <v>333</v>
      </c>
      <c r="AB76" s="5" t="s">
        <v>1737</v>
      </c>
      <c r="AC76" s="5" t="s">
        <v>1738</v>
      </c>
      <c r="AD76" s="7" t="s">
        <v>455</v>
      </c>
      <c r="AE76" s="5" t="s">
        <v>1739</v>
      </c>
      <c r="AF76" s="5" t="s">
        <v>1740</v>
      </c>
      <c r="AG76" s="5" t="s">
        <v>446</v>
      </c>
      <c r="AH76" s="5" t="s">
        <v>1741</v>
      </c>
      <c r="AI76" s="5" t="s">
        <v>1742</v>
      </c>
      <c r="AJ76" s="5" t="s">
        <v>446</v>
      </c>
      <c r="AK76" s="5" t="s">
        <v>1743</v>
      </c>
      <c r="AL76" s="5" t="s">
        <v>1739</v>
      </c>
      <c r="AM76" s="7">
        <v>-64.95</v>
      </c>
      <c r="AN76" s="5" t="s">
        <v>446</v>
      </c>
      <c r="AO76" s="5" t="s">
        <v>446</v>
      </c>
      <c r="AP76" s="5" t="s">
        <v>1744</v>
      </c>
      <c r="AQ76" s="5" t="s">
        <v>1685</v>
      </c>
      <c r="AR76" s="5" t="s">
        <v>1745</v>
      </c>
      <c r="AS76" s="5" t="s">
        <v>1042</v>
      </c>
      <c r="AT76" s="7"/>
    </row>
    <row r="77" spans="1:46" ht="14.25" customHeight="1" x14ac:dyDescent="0.3">
      <c r="A77" s="10">
        <v>16</v>
      </c>
      <c r="B77" s="10" t="s">
        <v>1746</v>
      </c>
      <c r="C77" s="10" t="s">
        <v>1747</v>
      </c>
      <c r="D77" s="10">
        <v>2020</v>
      </c>
      <c r="E77" s="10" t="s">
        <v>184</v>
      </c>
      <c r="F77" s="10" t="s">
        <v>48</v>
      </c>
      <c r="G77" s="32" t="s">
        <v>446</v>
      </c>
      <c r="H77" s="32" t="s">
        <v>1748</v>
      </c>
      <c r="I77" s="32" t="s">
        <v>1749</v>
      </c>
      <c r="J77" s="32" t="s">
        <v>1750</v>
      </c>
      <c r="K77" s="32" t="s">
        <v>1751</v>
      </c>
      <c r="L77" s="32" t="s">
        <v>1752</v>
      </c>
      <c r="M77" s="32" t="s">
        <v>1753</v>
      </c>
      <c r="N77" s="32" t="s">
        <v>1754</v>
      </c>
      <c r="O77" s="32" t="s">
        <v>1755</v>
      </c>
      <c r="P77" s="32" t="s">
        <v>1756</v>
      </c>
      <c r="Q77" s="32" t="s">
        <v>1757</v>
      </c>
      <c r="R77" s="32" t="s">
        <v>1758</v>
      </c>
      <c r="S77" s="32" t="s">
        <v>1759</v>
      </c>
      <c r="T77" s="32" t="s">
        <v>1760</v>
      </c>
      <c r="U77" s="32" t="s">
        <v>1761</v>
      </c>
      <c r="V77" s="32" t="s">
        <v>1762</v>
      </c>
      <c r="W77" s="32" t="s">
        <v>1763</v>
      </c>
      <c r="X77" s="32" t="s">
        <v>1764</v>
      </c>
      <c r="Y77" s="32" t="s">
        <v>1765</v>
      </c>
      <c r="Z77" s="32" t="s">
        <v>62</v>
      </c>
      <c r="AA77" s="32" t="s">
        <v>62</v>
      </c>
      <c r="AB77" s="32" t="s">
        <v>1766</v>
      </c>
      <c r="AC77" s="32" t="s">
        <v>1767</v>
      </c>
      <c r="AD77" s="32" t="s">
        <v>1768</v>
      </c>
      <c r="AE77" s="28">
        <v>6159.7</v>
      </c>
      <c r="AF77" s="32" t="s">
        <v>1769</v>
      </c>
      <c r="AG77" s="32" t="s">
        <v>1770</v>
      </c>
      <c r="AH77" s="32" t="s">
        <v>1771</v>
      </c>
      <c r="AI77" s="32" t="s">
        <v>1772</v>
      </c>
      <c r="AJ77" s="32" t="s">
        <v>1773</v>
      </c>
      <c r="AK77" s="32" t="s">
        <v>1774</v>
      </c>
      <c r="AL77" s="28">
        <v>5173.04</v>
      </c>
      <c r="AM77" s="32" t="s">
        <v>1775</v>
      </c>
      <c r="AN77" s="32" t="s">
        <v>1776</v>
      </c>
      <c r="AO77" s="32" t="s">
        <v>1777</v>
      </c>
      <c r="AP77" s="32" t="s">
        <v>1778</v>
      </c>
      <c r="AQ77" s="32" t="s">
        <v>1779</v>
      </c>
      <c r="AR77" s="32" t="s">
        <v>1780</v>
      </c>
      <c r="AS77" s="32" t="s">
        <v>1781</v>
      </c>
      <c r="AT77" s="17"/>
    </row>
    <row r="78" spans="1:46" ht="14.25" customHeight="1" x14ac:dyDescent="0.3">
      <c r="A78" s="10">
        <v>16</v>
      </c>
      <c r="B78" s="10" t="s">
        <v>1746</v>
      </c>
      <c r="C78" s="10" t="s">
        <v>1747</v>
      </c>
      <c r="D78" s="10">
        <v>2021</v>
      </c>
      <c r="E78" s="10" t="s">
        <v>184</v>
      </c>
      <c r="F78" s="10" t="s">
        <v>48</v>
      </c>
      <c r="G78" s="32" t="s">
        <v>446</v>
      </c>
      <c r="H78" s="32" t="s">
        <v>1748</v>
      </c>
      <c r="I78" s="32" t="s">
        <v>1749</v>
      </c>
      <c r="J78" s="32" t="s">
        <v>1750</v>
      </c>
      <c r="K78" s="32" t="s">
        <v>1751</v>
      </c>
      <c r="L78" s="32" t="s">
        <v>1782</v>
      </c>
      <c r="M78" s="32" t="s">
        <v>1783</v>
      </c>
      <c r="N78" s="32" t="s">
        <v>1784</v>
      </c>
      <c r="O78" s="32" t="s">
        <v>1785</v>
      </c>
      <c r="P78" s="32" t="s">
        <v>1786</v>
      </c>
      <c r="Q78" s="32" t="s">
        <v>1787</v>
      </c>
      <c r="R78" s="32" t="s">
        <v>1788</v>
      </c>
      <c r="S78" s="32" t="s">
        <v>1789</v>
      </c>
      <c r="T78" s="32" t="s">
        <v>1790</v>
      </c>
      <c r="U78" s="32" t="s">
        <v>1791</v>
      </c>
      <c r="V78" s="32" t="s">
        <v>1792</v>
      </c>
      <c r="W78" s="32" t="s">
        <v>1793</v>
      </c>
      <c r="X78" s="32" t="s">
        <v>1794</v>
      </c>
      <c r="Y78" s="32" t="s">
        <v>1765</v>
      </c>
      <c r="Z78" s="32" t="s">
        <v>62</v>
      </c>
      <c r="AA78" s="32" t="s">
        <v>62</v>
      </c>
      <c r="AB78" s="32" t="s">
        <v>1795</v>
      </c>
      <c r="AC78" s="32" t="s">
        <v>1796</v>
      </c>
      <c r="AD78" s="32" t="s">
        <v>1797</v>
      </c>
      <c r="AE78" s="28">
        <v>7892.24</v>
      </c>
      <c r="AF78" s="32" t="s">
        <v>1798</v>
      </c>
      <c r="AG78" s="32" t="s">
        <v>1799</v>
      </c>
      <c r="AH78" s="32" t="s">
        <v>1800</v>
      </c>
      <c r="AI78" s="32" t="s">
        <v>1801</v>
      </c>
      <c r="AJ78" s="32" t="s">
        <v>1802</v>
      </c>
      <c r="AK78" s="32" t="s">
        <v>1803</v>
      </c>
      <c r="AL78" s="28">
        <v>7258.02</v>
      </c>
      <c r="AM78" s="32" t="s">
        <v>1804</v>
      </c>
      <c r="AN78" s="32" t="s">
        <v>1805</v>
      </c>
      <c r="AO78" s="32" t="s">
        <v>1777</v>
      </c>
      <c r="AP78" s="32" t="s">
        <v>1806</v>
      </c>
      <c r="AQ78" s="32" t="s">
        <v>1807</v>
      </c>
      <c r="AR78" s="32" t="s">
        <v>1808</v>
      </c>
      <c r="AS78" s="32" t="s">
        <v>439</v>
      </c>
      <c r="AT78" s="17"/>
    </row>
    <row r="79" spans="1:46" ht="14.25" customHeight="1" x14ac:dyDescent="0.3">
      <c r="A79" s="10">
        <v>16</v>
      </c>
      <c r="B79" s="10" t="s">
        <v>1746</v>
      </c>
      <c r="C79" s="10" t="s">
        <v>1747</v>
      </c>
      <c r="D79" s="10">
        <v>2022</v>
      </c>
      <c r="E79" s="10" t="s">
        <v>184</v>
      </c>
      <c r="F79" s="10" t="s">
        <v>48</v>
      </c>
      <c r="G79" s="32" t="s">
        <v>446</v>
      </c>
      <c r="H79" s="32" t="s">
        <v>1748</v>
      </c>
      <c r="I79" s="32" t="s">
        <v>1809</v>
      </c>
      <c r="J79" s="32" t="s">
        <v>1810</v>
      </c>
      <c r="K79" s="32" t="s">
        <v>1751</v>
      </c>
      <c r="L79" s="32" t="s">
        <v>1811</v>
      </c>
      <c r="M79" s="32" t="s">
        <v>1812</v>
      </c>
      <c r="N79" s="32" t="s">
        <v>1813</v>
      </c>
      <c r="O79" s="32" t="s">
        <v>1814</v>
      </c>
      <c r="P79" s="32" t="s">
        <v>1815</v>
      </c>
      <c r="Q79" s="32" t="s">
        <v>1816</v>
      </c>
      <c r="R79" s="32" t="s">
        <v>1817</v>
      </c>
      <c r="S79" s="32" t="s">
        <v>1818</v>
      </c>
      <c r="T79" s="32" t="s">
        <v>1819</v>
      </c>
      <c r="U79" s="32" t="s">
        <v>1820</v>
      </c>
      <c r="V79" s="32" t="s">
        <v>1821</v>
      </c>
      <c r="W79" s="32" t="s">
        <v>1822</v>
      </c>
      <c r="X79" s="32" t="s">
        <v>1823</v>
      </c>
      <c r="Y79" s="32" t="s">
        <v>1824</v>
      </c>
      <c r="Z79" s="32" t="s">
        <v>333</v>
      </c>
      <c r="AA79" s="32" t="s">
        <v>62</v>
      </c>
      <c r="AB79" s="32" t="s">
        <v>1825</v>
      </c>
      <c r="AC79" s="32" t="s">
        <v>1826</v>
      </c>
      <c r="AD79" s="32" t="s">
        <v>1827</v>
      </c>
      <c r="AE79" s="28">
        <v>9874.23</v>
      </c>
      <c r="AF79" s="32" t="s">
        <v>1828</v>
      </c>
      <c r="AG79" s="32" t="s">
        <v>1829</v>
      </c>
      <c r="AH79" s="32" t="s">
        <v>1830</v>
      </c>
      <c r="AI79" s="32" t="s">
        <v>1831</v>
      </c>
      <c r="AJ79" s="32" t="s">
        <v>1832</v>
      </c>
      <c r="AK79" s="32" t="s">
        <v>1833</v>
      </c>
      <c r="AL79" s="28">
        <v>9213.86</v>
      </c>
      <c r="AM79" s="32" t="s">
        <v>1834</v>
      </c>
      <c r="AN79" s="32" t="s">
        <v>1835</v>
      </c>
      <c r="AO79" s="32" t="s">
        <v>1836</v>
      </c>
      <c r="AP79" s="32" t="s">
        <v>1837</v>
      </c>
      <c r="AQ79" s="32" t="s">
        <v>1838</v>
      </c>
      <c r="AR79" s="32" t="s">
        <v>1839</v>
      </c>
      <c r="AS79" s="32" t="s">
        <v>1840</v>
      </c>
      <c r="AT79" s="17"/>
    </row>
    <row r="80" spans="1:46" ht="14.25" customHeight="1" x14ac:dyDescent="0.3">
      <c r="A80" s="10">
        <v>16</v>
      </c>
      <c r="B80" s="10" t="s">
        <v>1746</v>
      </c>
      <c r="C80" s="10" t="s">
        <v>1747</v>
      </c>
      <c r="D80" s="10">
        <v>2023</v>
      </c>
      <c r="E80" s="10" t="s">
        <v>184</v>
      </c>
      <c r="F80" s="10" t="s">
        <v>48</v>
      </c>
      <c r="G80" s="32" t="s">
        <v>446</v>
      </c>
      <c r="H80" s="32" t="s">
        <v>1748</v>
      </c>
      <c r="I80" s="32" t="s">
        <v>1841</v>
      </c>
      <c r="J80" s="32" t="s">
        <v>1842</v>
      </c>
      <c r="K80" s="32" t="s">
        <v>1843</v>
      </c>
      <c r="L80" s="32" t="s">
        <v>1844</v>
      </c>
      <c r="M80" s="32" t="s">
        <v>1845</v>
      </c>
      <c r="N80" s="32" t="s">
        <v>1846</v>
      </c>
      <c r="O80" s="32" t="s">
        <v>1847</v>
      </c>
      <c r="P80" s="32" t="s">
        <v>1848</v>
      </c>
      <c r="Q80" s="32" t="s">
        <v>1849</v>
      </c>
      <c r="R80" s="32" t="s">
        <v>1850</v>
      </c>
      <c r="S80" s="32" t="s">
        <v>1851</v>
      </c>
      <c r="T80" s="32" t="s">
        <v>1852</v>
      </c>
      <c r="U80" s="32" t="s">
        <v>1853</v>
      </c>
      <c r="V80" s="32" t="s">
        <v>1854</v>
      </c>
      <c r="W80" s="32" t="s">
        <v>1855</v>
      </c>
      <c r="X80" s="32" t="s">
        <v>1856</v>
      </c>
      <c r="Y80" s="32" t="s">
        <v>1824</v>
      </c>
      <c r="Z80" s="32" t="s">
        <v>62</v>
      </c>
      <c r="AA80" s="32" t="s">
        <v>62</v>
      </c>
      <c r="AB80" s="32" t="s">
        <v>1857</v>
      </c>
      <c r="AC80" s="32" t="s">
        <v>1858</v>
      </c>
      <c r="AD80" s="32" t="s">
        <v>1859</v>
      </c>
      <c r="AE80" s="28">
        <v>8571.4699999999993</v>
      </c>
      <c r="AF80" s="32" t="s">
        <v>1860</v>
      </c>
      <c r="AG80" s="32" t="s">
        <v>1861</v>
      </c>
      <c r="AH80" s="32" t="s">
        <v>1862</v>
      </c>
      <c r="AI80" s="32" t="s">
        <v>1863</v>
      </c>
      <c r="AJ80" s="32" t="s">
        <v>1864</v>
      </c>
      <c r="AK80" s="32" t="s">
        <v>1865</v>
      </c>
      <c r="AL80" s="28">
        <v>8224.61</v>
      </c>
      <c r="AM80" s="32" t="s">
        <v>1866</v>
      </c>
      <c r="AN80" s="32" t="s">
        <v>1867</v>
      </c>
      <c r="AO80" s="32" t="s">
        <v>1868</v>
      </c>
      <c r="AP80" s="32" t="s">
        <v>1869</v>
      </c>
      <c r="AQ80" s="32" t="s">
        <v>1838</v>
      </c>
      <c r="AR80" s="32" t="s">
        <v>1870</v>
      </c>
      <c r="AS80" s="32" t="s">
        <v>1871</v>
      </c>
      <c r="AT80" s="17"/>
    </row>
    <row r="81" spans="1:46" ht="14.25" customHeight="1" x14ac:dyDescent="0.3">
      <c r="A81" s="10">
        <v>16</v>
      </c>
      <c r="B81" s="10" t="s">
        <v>1746</v>
      </c>
      <c r="C81" s="10" t="s">
        <v>1747</v>
      </c>
      <c r="D81" s="10">
        <v>2024</v>
      </c>
      <c r="E81" s="10" t="s">
        <v>184</v>
      </c>
      <c r="F81" s="10" t="s">
        <v>48</v>
      </c>
      <c r="G81" s="32" t="s">
        <v>446</v>
      </c>
      <c r="H81" s="32" t="s">
        <v>1748</v>
      </c>
      <c r="I81" s="32" t="s">
        <v>1872</v>
      </c>
      <c r="J81" s="32" t="s">
        <v>1873</v>
      </c>
      <c r="K81" s="32" t="s">
        <v>1843</v>
      </c>
      <c r="L81" s="32" t="s">
        <v>1874</v>
      </c>
      <c r="M81" s="32" t="s">
        <v>1875</v>
      </c>
      <c r="N81" s="32" t="s">
        <v>1876</v>
      </c>
      <c r="O81" s="32" t="s">
        <v>1877</v>
      </c>
      <c r="P81" s="32" t="s">
        <v>1878</v>
      </c>
      <c r="Q81" s="32" t="s">
        <v>1879</v>
      </c>
      <c r="R81" s="32" t="s">
        <v>1880</v>
      </c>
      <c r="S81" s="32" t="s">
        <v>1881</v>
      </c>
      <c r="T81" s="32" t="s">
        <v>1882</v>
      </c>
      <c r="U81" s="32" t="s">
        <v>1883</v>
      </c>
      <c r="V81" s="32" t="s">
        <v>1884</v>
      </c>
      <c r="W81" s="32" t="s">
        <v>1885</v>
      </c>
      <c r="X81" s="32" t="s">
        <v>1886</v>
      </c>
      <c r="Y81" s="32" t="s">
        <v>446</v>
      </c>
      <c r="Z81" s="32" t="s">
        <v>62</v>
      </c>
      <c r="AA81" s="32" t="s">
        <v>62</v>
      </c>
      <c r="AB81" s="32" t="s">
        <v>1887</v>
      </c>
      <c r="AC81" s="32" t="s">
        <v>1888</v>
      </c>
      <c r="AD81" s="32" t="s">
        <v>1889</v>
      </c>
      <c r="AE81" s="28">
        <v>9002.31</v>
      </c>
      <c r="AF81" s="32" t="s">
        <v>1890</v>
      </c>
      <c r="AG81" s="32" t="s">
        <v>1891</v>
      </c>
      <c r="AH81" s="32" t="s">
        <v>1892</v>
      </c>
      <c r="AI81" s="32" t="s">
        <v>1893</v>
      </c>
      <c r="AJ81" s="32" t="s">
        <v>1894</v>
      </c>
      <c r="AK81" s="32" t="s">
        <v>1895</v>
      </c>
      <c r="AL81" s="28">
        <v>8657.91</v>
      </c>
      <c r="AM81" s="32" t="s">
        <v>1896</v>
      </c>
      <c r="AN81" s="32" t="s">
        <v>1897</v>
      </c>
      <c r="AO81" s="32" t="s">
        <v>1898</v>
      </c>
      <c r="AP81" s="32" t="s">
        <v>1899</v>
      </c>
      <c r="AQ81" s="32" t="s">
        <v>1900</v>
      </c>
      <c r="AR81" s="32" t="s">
        <v>1901</v>
      </c>
      <c r="AS81" s="32" t="s">
        <v>1902</v>
      </c>
      <c r="AT81" s="17"/>
    </row>
    <row r="82" spans="1:46" ht="14.25" customHeight="1" x14ac:dyDescent="0.3">
      <c r="A82" s="4">
        <v>17</v>
      </c>
      <c r="B82" s="4" t="s">
        <v>1903</v>
      </c>
      <c r="C82" s="4" t="s">
        <v>1904</v>
      </c>
      <c r="D82" s="4">
        <v>2020</v>
      </c>
      <c r="E82" s="4" t="s">
        <v>1905</v>
      </c>
      <c r="F82" s="4" t="s">
        <v>48</v>
      </c>
      <c r="G82" s="5" t="s">
        <v>1906</v>
      </c>
      <c r="H82" s="5" t="s">
        <v>1907</v>
      </c>
      <c r="I82" s="5" t="s">
        <v>1907</v>
      </c>
      <c r="J82" s="5" t="s">
        <v>1908</v>
      </c>
      <c r="K82" s="5" t="s">
        <v>1909</v>
      </c>
      <c r="L82" s="5" t="s">
        <v>1910</v>
      </c>
      <c r="M82" s="5" t="s">
        <v>1911</v>
      </c>
      <c r="N82" s="5" t="s">
        <v>1912</v>
      </c>
      <c r="O82" s="5" t="s">
        <v>1913</v>
      </c>
      <c r="P82" s="5" t="s">
        <v>1914</v>
      </c>
      <c r="Q82" s="5" t="s">
        <v>1915</v>
      </c>
      <c r="R82" s="5" t="s">
        <v>1916</v>
      </c>
      <c r="S82" s="5" t="s">
        <v>1917</v>
      </c>
      <c r="T82" s="5" t="s">
        <v>1918</v>
      </c>
      <c r="U82" s="5" t="s">
        <v>1919</v>
      </c>
      <c r="V82" s="5" t="s">
        <v>1920</v>
      </c>
      <c r="W82" s="5" t="s">
        <v>1921</v>
      </c>
      <c r="X82" s="5" t="s">
        <v>1922</v>
      </c>
      <c r="Y82" s="7" t="s">
        <v>455</v>
      </c>
      <c r="Z82" s="5" t="s">
        <v>62</v>
      </c>
      <c r="AA82" s="5" t="s">
        <v>62</v>
      </c>
      <c r="AB82" s="5" t="s">
        <v>1923</v>
      </c>
      <c r="AC82" s="5" t="s">
        <v>1924</v>
      </c>
      <c r="AD82" s="5" t="s">
        <v>1925</v>
      </c>
      <c r="AE82" s="5" t="s">
        <v>1926</v>
      </c>
      <c r="AF82" s="5" t="s">
        <v>1927</v>
      </c>
      <c r="AG82" s="5" t="s">
        <v>1928</v>
      </c>
      <c r="AH82" s="5" t="s">
        <v>1929</v>
      </c>
      <c r="AI82" s="5" t="s">
        <v>1930</v>
      </c>
      <c r="AJ82" s="5" t="s">
        <v>1931</v>
      </c>
      <c r="AK82" s="5" t="s">
        <v>1932</v>
      </c>
      <c r="AL82" s="5" t="s">
        <v>1933</v>
      </c>
      <c r="AM82" s="5" t="s">
        <v>1934</v>
      </c>
      <c r="AN82" s="5" t="s">
        <v>1935</v>
      </c>
      <c r="AO82" s="5" t="s">
        <v>1936</v>
      </c>
      <c r="AP82" s="5" t="s">
        <v>1937</v>
      </c>
      <c r="AQ82" s="5" t="s">
        <v>1938</v>
      </c>
      <c r="AR82" s="5" t="s">
        <v>1939</v>
      </c>
      <c r="AS82" s="5" t="s">
        <v>1042</v>
      </c>
      <c r="AT82" s="7"/>
    </row>
    <row r="83" spans="1:46" ht="14.25" customHeight="1" x14ac:dyDescent="0.3">
      <c r="A83" s="4">
        <v>17</v>
      </c>
      <c r="B83" s="4" t="s">
        <v>1903</v>
      </c>
      <c r="C83" s="4" t="s">
        <v>1904</v>
      </c>
      <c r="D83" s="4">
        <v>2021</v>
      </c>
      <c r="E83" s="4" t="s">
        <v>1905</v>
      </c>
      <c r="F83" s="4" t="s">
        <v>48</v>
      </c>
      <c r="G83" s="5" t="s">
        <v>1906</v>
      </c>
      <c r="H83" s="5" t="s">
        <v>1907</v>
      </c>
      <c r="I83" s="5" t="s">
        <v>1907</v>
      </c>
      <c r="J83" s="5" t="s">
        <v>1908</v>
      </c>
      <c r="K83" s="5" t="s">
        <v>1909</v>
      </c>
      <c r="L83" s="5" t="s">
        <v>1940</v>
      </c>
      <c r="M83" s="5" t="s">
        <v>1941</v>
      </c>
      <c r="N83" s="5" t="s">
        <v>1942</v>
      </c>
      <c r="O83" s="5" t="s">
        <v>1943</v>
      </c>
      <c r="P83" s="5" t="s">
        <v>1944</v>
      </c>
      <c r="Q83" s="5" t="s">
        <v>1945</v>
      </c>
      <c r="R83" s="5" t="s">
        <v>1946</v>
      </c>
      <c r="S83" s="5" t="s">
        <v>1947</v>
      </c>
      <c r="T83" s="5" t="s">
        <v>1948</v>
      </c>
      <c r="U83" s="5" t="s">
        <v>1949</v>
      </c>
      <c r="V83" s="5" t="s">
        <v>1950</v>
      </c>
      <c r="W83" s="5" t="s">
        <v>1951</v>
      </c>
      <c r="X83" s="5" t="s">
        <v>1952</v>
      </c>
      <c r="Y83" s="7" t="s">
        <v>455</v>
      </c>
      <c r="Z83" s="5" t="s">
        <v>62</v>
      </c>
      <c r="AA83" s="5" t="s">
        <v>62</v>
      </c>
      <c r="AB83" s="5" t="s">
        <v>1953</v>
      </c>
      <c r="AC83" s="5" t="s">
        <v>1954</v>
      </c>
      <c r="AD83" s="5" t="s">
        <v>1955</v>
      </c>
      <c r="AE83" s="5" t="s">
        <v>1956</v>
      </c>
      <c r="AF83" s="5" t="s">
        <v>1957</v>
      </c>
      <c r="AG83" s="5" t="s">
        <v>1958</v>
      </c>
      <c r="AH83" s="5" t="s">
        <v>1959</v>
      </c>
      <c r="AI83" s="5" t="s">
        <v>1960</v>
      </c>
      <c r="AJ83" s="5" t="s">
        <v>446</v>
      </c>
      <c r="AK83" s="5" t="s">
        <v>1961</v>
      </c>
      <c r="AL83" s="5" t="s">
        <v>1956</v>
      </c>
      <c r="AM83" s="5" t="s">
        <v>1962</v>
      </c>
      <c r="AN83" s="5" t="s">
        <v>1963</v>
      </c>
      <c r="AO83" s="5" t="s">
        <v>1964</v>
      </c>
      <c r="AP83" s="5" t="s">
        <v>1965</v>
      </c>
      <c r="AQ83" s="5" t="s">
        <v>1966</v>
      </c>
      <c r="AR83" s="5" t="s">
        <v>1967</v>
      </c>
      <c r="AS83" s="5" t="s">
        <v>1075</v>
      </c>
      <c r="AT83" s="7"/>
    </row>
    <row r="84" spans="1:46" ht="14.25" customHeight="1" x14ac:dyDescent="0.3">
      <c r="A84" s="4">
        <v>17</v>
      </c>
      <c r="B84" s="4" t="s">
        <v>1903</v>
      </c>
      <c r="C84" s="4" t="s">
        <v>1904</v>
      </c>
      <c r="D84" s="4">
        <v>2022</v>
      </c>
      <c r="E84" s="4" t="s">
        <v>1905</v>
      </c>
      <c r="F84" s="4" t="s">
        <v>48</v>
      </c>
      <c r="G84" s="5" t="s">
        <v>1906</v>
      </c>
      <c r="H84" s="5" t="s">
        <v>1907</v>
      </c>
      <c r="I84" s="5" t="s">
        <v>1907</v>
      </c>
      <c r="J84" s="5" t="s">
        <v>1908</v>
      </c>
      <c r="K84" s="5" t="s">
        <v>1909</v>
      </c>
      <c r="L84" s="5" t="s">
        <v>1968</v>
      </c>
      <c r="M84" s="5" t="s">
        <v>1969</v>
      </c>
      <c r="N84" s="5" t="s">
        <v>1970</v>
      </c>
      <c r="O84" s="5" t="s">
        <v>1971</v>
      </c>
      <c r="P84" s="5" t="s">
        <v>1972</v>
      </c>
      <c r="Q84" s="5" t="s">
        <v>1945</v>
      </c>
      <c r="R84" s="5" t="s">
        <v>1973</v>
      </c>
      <c r="S84" s="5" t="s">
        <v>1974</v>
      </c>
      <c r="T84" s="5" t="s">
        <v>1975</v>
      </c>
      <c r="U84" s="5" t="s">
        <v>1976</v>
      </c>
      <c r="V84" s="5" t="s">
        <v>1977</v>
      </c>
      <c r="W84" s="5" t="s">
        <v>1978</v>
      </c>
      <c r="X84" s="5" t="s">
        <v>1979</v>
      </c>
      <c r="Y84" s="7" t="s">
        <v>455</v>
      </c>
      <c r="Z84" s="5" t="s">
        <v>62</v>
      </c>
      <c r="AA84" s="5" t="s">
        <v>62</v>
      </c>
      <c r="AB84" s="5" t="s">
        <v>1980</v>
      </c>
      <c r="AC84" s="5" t="s">
        <v>1981</v>
      </c>
      <c r="AD84" s="5" t="s">
        <v>1982</v>
      </c>
      <c r="AE84" s="5" t="s">
        <v>1983</v>
      </c>
      <c r="AF84" s="5" t="s">
        <v>1984</v>
      </c>
      <c r="AG84" s="5" t="s">
        <v>1985</v>
      </c>
      <c r="AH84" s="5" t="s">
        <v>1986</v>
      </c>
      <c r="AI84" s="5" t="s">
        <v>1960</v>
      </c>
      <c r="AJ84" s="5" t="s">
        <v>446</v>
      </c>
      <c r="AK84" s="5" t="s">
        <v>1987</v>
      </c>
      <c r="AL84" s="5" t="s">
        <v>1983</v>
      </c>
      <c r="AM84" s="5" t="s">
        <v>1988</v>
      </c>
      <c r="AN84" s="5" t="s">
        <v>1989</v>
      </c>
      <c r="AO84" s="5" t="s">
        <v>1990</v>
      </c>
      <c r="AP84" s="5" t="s">
        <v>1991</v>
      </c>
      <c r="AQ84" s="5" t="s">
        <v>1992</v>
      </c>
      <c r="AR84" s="5" t="s">
        <v>1993</v>
      </c>
      <c r="AS84" s="5" t="s">
        <v>1108</v>
      </c>
      <c r="AT84" s="7"/>
    </row>
    <row r="85" spans="1:46" ht="14.25" customHeight="1" x14ac:dyDescent="0.3">
      <c r="A85" s="4">
        <v>17</v>
      </c>
      <c r="B85" s="4" t="s">
        <v>1903</v>
      </c>
      <c r="C85" s="4" t="s">
        <v>1904</v>
      </c>
      <c r="D85" s="4">
        <v>2023</v>
      </c>
      <c r="E85" s="4" t="s">
        <v>1905</v>
      </c>
      <c r="F85" s="4" t="s">
        <v>48</v>
      </c>
      <c r="G85" s="5" t="s">
        <v>1906</v>
      </c>
      <c r="H85" s="5" t="s">
        <v>1907</v>
      </c>
      <c r="I85" s="5" t="s">
        <v>1907</v>
      </c>
      <c r="J85" s="5" t="s">
        <v>1994</v>
      </c>
      <c r="K85" s="5" t="s">
        <v>1909</v>
      </c>
      <c r="L85" s="5" t="s">
        <v>1995</v>
      </c>
      <c r="M85" s="5" t="s">
        <v>1996</v>
      </c>
      <c r="N85" s="5" t="s">
        <v>1997</v>
      </c>
      <c r="O85" s="5" t="s">
        <v>1998</v>
      </c>
      <c r="P85" s="5" t="s">
        <v>1999</v>
      </c>
      <c r="Q85" s="5" t="s">
        <v>2000</v>
      </c>
      <c r="R85" s="5" t="s">
        <v>2001</v>
      </c>
      <c r="S85" s="5" t="s">
        <v>2002</v>
      </c>
      <c r="T85" s="5" t="s">
        <v>2003</v>
      </c>
      <c r="U85" s="5" t="s">
        <v>2004</v>
      </c>
      <c r="V85" s="5" t="s">
        <v>2005</v>
      </c>
      <c r="W85" s="5" t="s">
        <v>2006</v>
      </c>
      <c r="X85" s="5" t="s">
        <v>2007</v>
      </c>
      <c r="Y85" s="7" t="s">
        <v>455</v>
      </c>
      <c r="Z85" s="5" t="s">
        <v>62</v>
      </c>
      <c r="AA85" s="5" t="s">
        <v>62</v>
      </c>
      <c r="AB85" s="5" t="s">
        <v>2008</v>
      </c>
      <c r="AC85" s="5" t="s">
        <v>2009</v>
      </c>
      <c r="AD85" s="5" t="s">
        <v>1982</v>
      </c>
      <c r="AE85" s="5" t="s">
        <v>2010</v>
      </c>
      <c r="AF85" s="5" t="s">
        <v>2011</v>
      </c>
      <c r="AG85" s="5" t="s">
        <v>2012</v>
      </c>
      <c r="AH85" s="5" t="s">
        <v>2013</v>
      </c>
      <c r="AI85" s="5" t="s">
        <v>2014</v>
      </c>
      <c r="AJ85" s="5" t="s">
        <v>446</v>
      </c>
      <c r="AK85" s="5" t="s">
        <v>2015</v>
      </c>
      <c r="AL85" s="5" t="s">
        <v>2010</v>
      </c>
      <c r="AM85" s="5" t="s">
        <v>2016</v>
      </c>
      <c r="AN85" s="5" t="s">
        <v>2017</v>
      </c>
      <c r="AO85" s="5" t="s">
        <v>2018</v>
      </c>
      <c r="AP85" s="5" t="s">
        <v>2019</v>
      </c>
      <c r="AQ85" s="5" t="s">
        <v>2020</v>
      </c>
      <c r="AR85" s="5" t="s">
        <v>2021</v>
      </c>
      <c r="AS85" s="5" t="s">
        <v>1138</v>
      </c>
      <c r="AT85" s="7"/>
    </row>
    <row r="86" spans="1:46" ht="14.25" customHeight="1" x14ac:dyDescent="0.3">
      <c r="A86" s="4">
        <v>17</v>
      </c>
      <c r="B86" s="4" t="s">
        <v>1903</v>
      </c>
      <c r="C86" s="4" t="s">
        <v>1904</v>
      </c>
      <c r="D86" s="4">
        <v>2024</v>
      </c>
      <c r="E86" s="4" t="s">
        <v>1905</v>
      </c>
      <c r="F86" s="4" t="s">
        <v>48</v>
      </c>
      <c r="G86" s="5" t="s">
        <v>1906</v>
      </c>
      <c r="H86" s="5" t="s">
        <v>1907</v>
      </c>
      <c r="I86" s="5" t="s">
        <v>1907</v>
      </c>
      <c r="J86" s="5" t="s">
        <v>1994</v>
      </c>
      <c r="K86" s="5" t="s">
        <v>1909</v>
      </c>
      <c r="L86" s="5" t="s">
        <v>2022</v>
      </c>
      <c r="M86" s="5" t="s">
        <v>2023</v>
      </c>
      <c r="N86" s="5" t="s">
        <v>2024</v>
      </c>
      <c r="O86" s="5" t="s">
        <v>2025</v>
      </c>
      <c r="P86" s="5" t="s">
        <v>2026</v>
      </c>
      <c r="Q86" s="5" t="s">
        <v>2027</v>
      </c>
      <c r="R86" s="5" t="s">
        <v>2028</v>
      </c>
      <c r="S86" s="5" t="s">
        <v>2029</v>
      </c>
      <c r="T86" s="5" t="s">
        <v>2030</v>
      </c>
      <c r="U86" s="5" t="s">
        <v>2031</v>
      </c>
      <c r="V86" s="5" t="s">
        <v>2032</v>
      </c>
      <c r="W86" s="5" t="s">
        <v>2006</v>
      </c>
      <c r="X86" s="5" t="s">
        <v>2033</v>
      </c>
      <c r="Y86" s="7" t="s">
        <v>455</v>
      </c>
      <c r="Z86" s="5" t="s">
        <v>62</v>
      </c>
      <c r="AA86" s="5" t="s">
        <v>62</v>
      </c>
      <c r="AB86" s="5" t="s">
        <v>2034</v>
      </c>
      <c r="AC86" s="5" t="s">
        <v>2035</v>
      </c>
      <c r="AD86" s="5" t="s">
        <v>2036</v>
      </c>
      <c r="AE86" s="5" t="s">
        <v>2037</v>
      </c>
      <c r="AF86" s="5" t="s">
        <v>2038</v>
      </c>
      <c r="AG86" s="5" t="s">
        <v>2039</v>
      </c>
      <c r="AH86" s="5" t="s">
        <v>2040</v>
      </c>
      <c r="AI86" s="5" t="s">
        <v>2041</v>
      </c>
      <c r="AJ86" s="5" t="s">
        <v>446</v>
      </c>
      <c r="AK86" s="5" t="s">
        <v>2042</v>
      </c>
      <c r="AL86" s="5" t="s">
        <v>2037</v>
      </c>
      <c r="AM86" s="5" t="s">
        <v>2043</v>
      </c>
      <c r="AN86" s="5" t="s">
        <v>2044</v>
      </c>
      <c r="AO86" s="5" t="s">
        <v>2045</v>
      </c>
      <c r="AP86" s="5" t="s">
        <v>2046</v>
      </c>
      <c r="AQ86" s="5" t="s">
        <v>2047</v>
      </c>
      <c r="AR86" s="5" t="s">
        <v>2048</v>
      </c>
      <c r="AS86" s="5" t="s">
        <v>1169</v>
      </c>
      <c r="AT86" s="7"/>
    </row>
    <row r="87" spans="1:46" ht="14.25" customHeight="1" x14ac:dyDescent="0.3">
      <c r="A87" s="10">
        <v>18</v>
      </c>
      <c r="B87" s="10" t="s">
        <v>2049</v>
      </c>
      <c r="C87" s="10" t="s">
        <v>2050</v>
      </c>
      <c r="D87" s="10">
        <v>2020</v>
      </c>
      <c r="E87" s="10" t="s">
        <v>445</v>
      </c>
      <c r="F87" s="10" t="s">
        <v>181</v>
      </c>
      <c r="G87" s="32" t="s">
        <v>2051</v>
      </c>
      <c r="H87" s="32" t="s">
        <v>2052</v>
      </c>
      <c r="I87" s="32" t="s">
        <v>1569</v>
      </c>
      <c r="J87" s="32" t="s">
        <v>2053</v>
      </c>
      <c r="K87" s="32" t="s">
        <v>2054</v>
      </c>
      <c r="L87" s="32" t="s">
        <v>2055</v>
      </c>
      <c r="M87" s="32" t="s">
        <v>2055</v>
      </c>
      <c r="N87" s="32" t="s">
        <v>2056</v>
      </c>
      <c r="O87" s="32" t="s">
        <v>2057</v>
      </c>
      <c r="P87" s="32" t="s">
        <v>2058</v>
      </c>
      <c r="Q87" s="32" t="s">
        <v>2059</v>
      </c>
      <c r="R87" s="32" t="s">
        <v>2060</v>
      </c>
      <c r="S87" s="32" t="s">
        <v>2061</v>
      </c>
      <c r="T87" s="32" t="s">
        <v>2062</v>
      </c>
      <c r="U87" s="32" t="s">
        <v>446</v>
      </c>
      <c r="V87" s="32" t="s">
        <v>446</v>
      </c>
      <c r="W87" s="32" t="s">
        <v>2063</v>
      </c>
      <c r="X87" s="32" t="s">
        <v>2064</v>
      </c>
      <c r="Y87" s="17" t="s">
        <v>455</v>
      </c>
      <c r="Z87" s="32" t="s">
        <v>62</v>
      </c>
      <c r="AA87" s="32" t="s">
        <v>62</v>
      </c>
      <c r="AB87" s="32" t="s">
        <v>2065</v>
      </c>
      <c r="AC87" s="32" t="s">
        <v>2066</v>
      </c>
      <c r="AD87" s="17" t="s">
        <v>455</v>
      </c>
      <c r="AE87" s="32" t="s">
        <v>2067</v>
      </c>
      <c r="AF87" s="32" t="s">
        <v>2068</v>
      </c>
      <c r="AG87" s="32" t="s">
        <v>2069</v>
      </c>
      <c r="AH87" s="32" t="s">
        <v>2070</v>
      </c>
      <c r="AI87" s="32" t="s">
        <v>2071</v>
      </c>
      <c r="AJ87" s="32" t="s">
        <v>2072</v>
      </c>
      <c r="AK87" s="32" t="s">
        <v>2073</v>
      </c>
      <c r="AL87" s="32" t="s">
        <v>2074</v>
      </c>
      <c r="AM87" s="32" t="s">
        <v>2075</v>
      </c>
      <c r="AN87" s="32" t="s">
        <v>2076</v>
      </c>
      <c r="AO87" s="32" t="s">
        <v>2077</v>
      </c>
      <c r="AP87" s="32" t="s">
        <v>2078</v>
      </c>
      <c r="AQ87" s="32" t="s">
        <v>2079</v>
      </c>
      <c r="AR87" s="32" t="s">
        <v>2080</v>
      </c>
      <c r="AS87" s="32" t="s">
        <v>215</v>
      </c>
      <c r="AT87" s="17"/>
    </row>
    <row r="88" spans="1:46" ht="14.25" customHeight="1" x14ac:dyDescent="0.3">
      <c r="A88" s="10">
        <v>18</v>
      </c>
      <c r="B88" s="10" t="s">
        <v>2049</v>
      </c>
      <c r="C88" s="10" t="s">
        <v>2050</v>
      </c>
      <c r="D88" s="10">
        <v>2021</v>
      </c>
      <c r="E88" s="10" t="s">
        <v>445</v>
      </c>
      <c r="F88" s="10" t="s">
        <v>181</v>
      </c>
      <c r="G88" s="32" t="s">
        <v>2051</v>
      </c>
      <c r="H88" s="32" t="s">
        <v>2052</v>
      </c>
      <c r="I88" s="32" t="s">
        <v>2081</v>
      </c>
      <c r="J88" s="32" t="s">
        <v>976</v>
      </c>
      <c r="K88" s="32" t="s">
        <v>2054</v>
      </c>
      <c r="L88" s="32" t="s">
        <v>2082</v>
      </c>
      <c r="M88" s="32" t="s">
        <v>2082</v>
      </c>
      <c r="N88" s="32" t="s">
        <v>2083</v>
      </c>
      <c r="O88" s="32" t="s">
        <v>2084</v>
      </c>
      <c r="P88" s="32" t="s">
        <v>2085</v>
      </c>
      <c r="Q88" s="32" t="s">
        <v>504</v>
      </c>
      <c r="R88" s="32" t="s">
        <v>2086</v>
      </c>
      <c r="S88" s="32" t="s">
        <v>2087</v>
      </c>
      <c r="T88" s="32" t="s">
        <v>2088</v>
      </c>
      <c r="U88" s="32" t="s">
        <v>446</v>
      </c>
      <c r="V88" s="32" t="s">
        <v>446</v>
      </c>
      <c r="W88" s="32" t="s">
        <v>2089</v>
      </c>
      <c r="X88" s="32" t="s">
        <v>2090</v>
      </c>
      <c r="Y88" s="17" t="s">
        <v>455</v>
      </c>
      <c r="Z88" s="32" t="s">
        <v>62</v>
      </c>
      <c r="AA88" s="32" t="s">
        <v>62</v>
      </c>
      <c r="AB88" s="32" t="s">
        <v>2091</v>
      </c>
      <c r="AC88" s="32" t="s">
        <v>2092</v>
      </c>
      <c r="AD88" s="17" t="s">
        <v>455</v>
      </c>
      <c r="AE88" s="32" t="s">
        <v>2093</v>
      </c>
      <c r="AF88" s="32" t="s">
        <v>2094</v>
      </c>
      <c r="AG88" s="32" t="s">
        <v>2095</v>
      </c>
      <c r="AH88" s="32" t="s">
        <v>2096</v>
      </c>
      <c r="AI88" s="32" t="s">
        <v>2097</v>
      </c>
      <c r="AJ88" s="32" t="s">
        <v>2098</v>
      </c>
      <c r="AK88" s="32" t="s">
        <v>2099</v>
      </c>
      <c r="AL88" s="32" t="s">
        <v>2100</v>
      </c>
      <c r="AM88" s="32" t="s">
        <v>2101</v>
      </c>
      <c r="AN88" s="32" t="s">
        <v>2102</v>
      </c>
      <c r="AO88" s="32" t="s">
        <v>2103</v>
      </c>
      <c r="AP88" s="32" t="s">
        <v>2104</v>
      </c>
      <c r="AQ88" s="32" t="s">
        <v>2105</v>
      </c>
      <c r="AR88" s="32" t="s">
        <v>2106</v>
      </c>
      <c r="AS88" s="32" t="s">
        <v>242</v>
      </c>
      <c r="AT88" s="17"/>
    </row>
    <row r="89" spans="1:46" ht="14.25" customHeight="1" x14ac:dyDescent="0.3">
      <c r="A89" s="10">
        <v>18</v>
      </c>
      <c r="B89" s="10" t="s">
        <v>2049</v>
      </c>
      <c r="C89" s="10" t="s">
        <v>2050</v>
      </c>
      <c r="D89" s="10">
        <v>2022</v>
      </c>
      <c r="E89" s="10" t="s">
        <v>445</v>
      </c>
      <c r="F89" s="10" t="s">
        <v>181</v>
      </c>
      <c r="G89" s="32" t="s">
        <v>2051</v>
      </c>
      <c r="H89" s="32" t="s">
        <v>2052</v>
      </c>
      <c r="I89" s="32" t="s">
        <v>2107</v>
      </c>
      <c r="J89" s="32" t="s">
        <v>976</v>
      </c>
      <c r="K89" s="32" t="s">
        <v>2054</v>
      </c>
      <c r="L89" s="32" t="s">
        <v>2108</v>
      </c>
      <c r="M89" s="32" t="s">
        <v>2108</v>
      </c>
      <c r="N89" s="32" t="s">
        <v>2109</v>
      </c>
      <c r="O89" s="32" t="s">
        <v>2110</v>
      </c>
      <c r="P89" s="32" t="s">
        <v>2111</v>
      </c>
      <c r="Q89" s="32" t="s">
        <v>2112</v>
      </c>
      <c r="R89" s="32" t="s">
        <v>2113</v>
      </c>
      <c r="S89" s="32" t="s">
        <v>2114</v>
      </c>
      <c r="T89" s="32" t="s">
        <v>2115</v>
      </c>
      <c r="U89" s="32" t="s">
        <v>446</v>
      </c>
      <c r="V89" s="32" t="s">
        <v>446</v>
      </c>
      <c r="W89" s="32" t="s">
        <v>2116</v>
      </c>
      <c r="X89" s="32" t="s">
        <v>2117</v>
      </c>
      <c r="Y89" s="17" t="s">
        <v>455</v>
      </c>
      <c r="Z89" s="32" t="s">
        <v>62</v>
      </c>
      <c r="AA89" s="32" t="s">
        <v>62</v>
      </c>
      <c r="AB89" s="32" t="s">
        <v>2118</v>
      </c>
      <c r="AC89" s="32" t="s">
        <v>2119</v>
      </c>
      <c r="AD89" s="17" t="s">
        <v>455</v>
      </c>
      <c r="AE89" s="32" t="s">
        <v>2120</v>
      </c>
      <c r="AF89" s="32" t="s">
        <v>2121</v>
      </c>
      <c r="AG89" s="32" t="s">
        <v>2122</v>
      </c>
      <c r="AH89" s="32" t="s">
        <v>2123</v>
      </c>
      <c r="AI89" s="32" t="s">
        <v>2124</v>
      </c>
      <c r="AJ89" s="32" t="s">
        <v>2098</v>
      </c>
      <c r="AK89" s="32" t="s">
        <v>2125</v>
      </c>
      <c r="AL89" s="32" t="s">
        <v>2120</v>
      </c>
      <c r="AM89" s="32" t="s">
        <v>2126</v>
      </c>
      <c r="AN89" s="32" t="s">
        <v>2127</v>
      </c>
      <c r="AO89" s="32" t="s">
        <v>2128</v>
      </c>
      <c r="AP89" s="32" t="s">
        <v>2129</v>
      </c>
      <c r="AQ89" s="32" t="s">
        <v>2130</v>
      </c>
      <c r="AR89" s="32" t="s">
        <v>2131</v>
      </c>
      <c r="AS89" s="32" t="s">
        <v>270</v>
      </c>
      <c r="AT89" s="17"/>
    </row>
    <row r="90" spans="1:46" ht="14.25" customHeight="1" x14ac:dyDescent="0.3">
      <c r="A90" s="10">
        <v>18</v>
      </c>
      <c r="B90" s="10" t="s">
        <v>2049</v>
      </c>
      <c r="C90" s="10" t="s">
        <v>2050</v>
      </c>
      <c r="D90" s="10">
        <v>2023</v>
      </c>
      <c r="E90" s="10" t="s">
        <v>445</v>
      </c>
      <c r="F90" s="10" t="s">
        <v>181</v>
      </c>
      <c r="G90" s="32" t="s">
        <v>2051</v>
      </c>
      <c r="H90" s="32" t="s">
        <v>2052</v>
      </c>
      <c r="I90" s="32" t="s">
        <v>2132</v>
      </c>
      <c r="J90" s="32" t="s">
        <v>976</v>
      </c>
      <c r="K90" s="32" t="s">
        <v>2133</v>
      </c>
      <c r="L90" s="32" t="s">
        <v>2134</v>
      </c>
      <c r="M90" s="32" t="s">
        <v>2134</v>
      </c>
      <c r="N90" s="32" t="s">
        <v>2135</v>
      </c>
      <c r="O90" s="32" t="s">
        <v>2136</v>
      </c>
      <c r="P90" s="32" t="s">
        <v>2137</v>
      </c>
      <c r="Q90" s="32" t="s">
        <v>2138</v>
      </c>
      <c r="R90" s="32" t="s">
        <v>2139</v>
      </c>
      <c r="S90" s="32" t="s">
        <v>2140</v>
      </c>
      <c r="T90" s="32" t="s">
        <v>2141</v>
      </c>
      <c r="U90" s="32" t="s">
        <v>446</v>
      </c>
      <c r="V90" s="32" t="s">
        <v>446</v>
      </c>
      <c r="W90" s="32" t="s">
        <v>2142</v>
      </c>
      <c r="X90" s="32" t="s">
        <v>2143</v>
      </c>
      <c r="Y90" s="17" t="s">
        <v>455</v>
      </c>
      <c r="Z90" s="32" t="s">
        <v>62</v>
      </c>
      <c r="AA90" s="32" t="s">
        <v>62</v>
      </c>
      <c r="AB90" s="32" t="s">
        <v>2144</v>
      </c>
      <c r="AC90" s="32" t="s">
        <v>2145</v>
      </c>
      <c r="AD90" s="17" t="s">
        <v>455</v>
      </c>
      <c r="AE90" s="32" t="s">
        <v>2146</v>
      </c>
      <c r="AF90" s="32" t="s">
        <v>2147</v>
      </c>
      <c r="AG90" s="32" t="s">
        <v>2148</v>
      </c>
      <c r="AH90" s="32" t="s">
        <v>2149</v>
      </c>
      <c r="AI90" s="32" t="s">
        <v>2150</v>
      </c>
      <c r="AJ90" s="32" t="s">
        <v>1675</v>
      </c>
      <c r="AK90" s="32" t="s">
        <v>2151</v>
      </c>
      <c r="AL90" s="32" t="s">
        <v>2152</v>
      </c>
      <c r="AM90" s="32" t="s">
        <v>2153</v>
      </c>
      <c r="AN90" s="32" t="s">
        <v>2154</v>
      </c>
      <c r="AO90" s="32" t="s">
        <v>2155</v>
      </c>
      <c r="AP90" s="32" t="s">
        <v>2156</v>
      </c>
      <c r="AQ90" s="32" t="s">
        <v>2157</v>
      </c>
      <c r="AR90" s="32" t="s">
        <v>2158</v>
      </c>
      <c r="AS90" s="32" t="s">
        <v>298</v>
      </c>
      <c r="AT90" s="17"/>
    </row>
    <row r="91" spans="1:46" ht="14.25" customHeight="1" x14ac:dyDescent="0.3">
      <c r="A91" s="10">
        <v>18</v>
      </c>
      <c r="B91" s="10" t="s">
        <v>2049</v>
      </c>
      <c r="C91" s="10" t="s">
        <v>2050</v>
      </c>
      <c r="D91" s="10">
        <v>2024</v>
      </c>
      <c r="E91" s="10" t="s">
        <v>445</v>
      </c>
      <c r="F91" s="10" t="s">
        <v>181</v>
      </c>
      <c r="G91" s="32" t="s">
        <v>2051</v>
      </c>
      <c r="H91" s="32" t="s">
        <v>446</v>
      </c>
      <c r="I91" s="32" t="s">
        <v>2132</v>
      </c>
      <c r="J91" s="32" t="s">
        <v>976</v>
      </c>
      <c r="K91" s="32" t="s">
        <v>2133</v>
      </c>
      <c r="L91" s="32" t="s">
        <v>2159</v>
      </c>
      <c r="M91" s="32" t="s">
        <v>2159</v>
      </c>
      <c r="N91" s="32" t="s">
        <v>2160</v>
      </c>
      <c r="O91" s="32" t="s">
        <v>2161</v>
      </c>
      <c r="P91" s="32" t="s">
        <v>2162</v>
      </c>
      <c r="Q91" s="32" t="s">
        <v>2163</v>
      </c>
      <c r="R91" s="32" t="s">
        <v>2164</v>
      </c>
      <c r="S91" s="32" t="s">
        <v>2165</v>
      </c>
      <c r="T91" s="32" t="s">
        <v>2166</v>
      </c>
      <c r="U91" s="32" t="s">
        <v>446</v>
      </c>
      <c r="V91" s="32" t="s">
        <v>446</v>
      </c>
      <c r="W91" s="32" t="s">
        <v>2167</v>
      </c>
      <c r="X91" s="32" t="s">
        <v>2168</v>
      </c>
      <c r="Y91" s="17" t="s">
        <v>455</v>
      </c>
      <c r="Z91" s="32" t="s">
        <v>62</v>
      </c>
      <c r="AA91" s="32" t="s">
        <v>62</v>
      </c>
      <c r="AB91" s="32" t="s">
        <v>2169</v>
      </c>
      <c r="AC91" s="32" t="s">
        <v>2170</v>
      </c>
      <c r="AD91" s="17" t="s">
        <v>455</v>
      </c>
      <c r="AE91" s="32" t="s">
        <v>2171</v>
      </c>
      <c r="AF91" s="32" t="s">
        <v>2172</v>
      </c>
      <c r="AG91" s="32" t="s">
        <v>1534</v>
      </c>
      <c r="AH91" s="32" t="s">
        <v>2173</v>
      </c>
      <c r="AI91" s="32" t="s">
        <v>2174</v>
      </c>
      <c r="AJ91" s="32" t="s">
        <v>2175</v>
      </c>
      <c r="AK91" s="32" t="s">
        <v>2176</v>
      </c>
      <c r="AL91" s="32" t="s">
        <v>2177</v>
      </c>
      <c r="AM91" s="32" t="s">
        <v>2178</v>
      </c>
      <c r="AN91" s="32" t="s">
        <v>2179</v>
      </c>
      <c r="AO91" s="32" t="s">
        <v>2180</v>
      </c>
      <c r="AP91" s="32" t="s">
        <v>2181</v>
      </c>
      <c r="AQ91" s="32" t="s">
        <v>2130</v>
      </c>
      <c r="AR91" s="32" t="s">
        <v>2182</v>
      </c>
      <c r="AS91" s="32" t="s">
        <v>325</v>
      </c>
      <c r="AT91" s="17"/>
    </row>
    <row r="92" spans="1:46" ht="14.25" customHeight="1" x14ac:dyDescent="0.3">
      <c r="A92" s="4">
        <v>19</v>
      </c>
      <c r="B92" s="4" t="s">
        <v>2183</v>
      </c>
      <c r="C92" s="4" t="s">
        <v>2184</v>
      </c>
      <c r="D92" s="4">
        <v>2020</v>
      </c>
      <c r="E92" s="4" t="s">
        <v>184</v>
      </c>
      <c r="F92" s="4" t="s">
        <v>48</v>
      </c>
      <c r="G92" s="5" t="s">
        <v>1110</v>
      </c>
      <c r="H92" s="5" t="s">
        <v>1748</v>
      </c>
      <c r="I92" s="5" t="s">
        <v>2185</v>
      </c>
      <c r="J92" s="5" t="s">
        <v>2186</v>
      </c>
      <c r="K92" s="5" t="s">
        <v>2187</v>
      </c>
      <c r="L92" s="5" t="s">
        <v>2188</v>
      </c>
      <c r="M92" s="5" t="s">
        <v>2189</v>
      </c>
      <c r="N92" s="5" t="s">
        <v>2190</v>
      </c>
      <c r="O92" s="5" t="s">
        <v>2191</v>
      </c>
      <c r="P92" s="5" t="s">
        <v>2192</v>
      </c>
      <c r="Q92" s="5" t="s">
        <v>2193</v>
      </c>
      <c r="R92" s="7" t="s">
        <v>455</v>
      </c>
      <c r="S92" s="5" t="s">
        <v>2194</v>
      </c>
      <c r="T92" s="7" t="s">
        <v>455</v>
      </c>
      <c r="U92" s="5" t="s">
        <v>2195</v>
      </c>
      <c r="V92" s="7" t="s">
        <v>455</v>
      </c>
      <c r="W92" s="7" t="s">
        <v>455</v>
      </c>
      <c r="X92" s="7" t="s">
        <v>455</v>
      </c>
      <c r="Y92" s="7" t="s">
        <v>455</v>
      </c>
      <c r="Z92" s="5" t="s">
        <v>62</v>
      </c>
      <c r="AA92" s="5" t="s">
        <v>62</v>
      </c>
      <c r="AB92" s="5" t="s">
        <v>2196</v>
      </c>
      <c r="AC92" s="5" t="s">
        <v>2197</v>
      </c>
      <c r="AD92" s="5" t="s">
        <v>2198</v>
      </c>
      <c r="AE92" s="5" t="s">
        <v>2199</v>
      </c>
      <c r="AF92" s="5" t="s">
        <v>2200</v>
      </c>
      <c r="AG92" s="7" t="s">
        <v>455</v>
      </c>
      <c r="AH92" s="7" t="s">
        <v>455</v>
      </c>
      <c r="AI92" s="5" t="s">
        <v>2201</v>
      </c>
      <c r="AJ92" s="5" t="s">
        <v>2202</v>
      </c>
      <c r="AK92" s="5" t="s">
        <v>2203</v>
      </c>
      <c r="AL92" s="5" t="s">
        <v>2204</v>
      </c>
      <c r="AM92" s="5" t="s">
        <v>2205</v>
      </c>
      <c r="AN92" s="5" t="s">
        <v>2206</v>
      </c>
      <c r="AO92" s="5" t="s">
        <v>2207</v>
      </c>
      <c r="AP92" s="5" t="s">
        <v>2208</v>
      </c>
      <c r="AQ92" s="5" t="s">
        <v>2209</v>
      </c>
      <c r="AR92" s="5" t="s">
        <v>2210</v>
      </c>
      <c r="AS92" s="5" t="s">
        <v>102</v>
      </c>
      <c r="AT92" s="7"/>
    </row>
    <row r="93" spans="1:46" ht="14.25" customHeight="1" x14ac:dyDescent="0.3">
      <c r="A93" s="4">
        <v>19</v>
      </c>
      <c r="B93" s="4" t="s">
        <v>2183</v>
      </c>
      <c r="C93" s="4" t="s">
        <v>2184</v>
      </c>
      <c r="D93" s="4">
        <v>2021</v>
      </c>
      <c r="E93" s="4" t="s">
        <v>184</v>
      </c>
      <c r="F93" s="4" t="s">
        <v>48</v>
      </c>
      <c r="G93" s="5" t="s">
        <v>2211</v>
      </c>
      <c r="H93" s="5" t="s">
        <v>1748</v>
      </c>
      <c r="I93" s="5" t="s">
        <v>2212</v>
      </c>
      <c r="J93" s="5" t="s">
        <v>2213</v>
      </c>
      <c r="K93" s="5" t="s">
        <v>2187</v>
      </c>
      <c r="L93" s="5" t="s">
        <v>2214</v>
      </c>
      <c r="M93" s="5" t="s">
        <v>2215</v>
      </c>
      <c r="N93" s="5" t="s">
        <v>2216</v>
      </c>
      <c r="O93" s="5" t="s">
        <v>2217</v>
      </c>
      <c r="P93" s="5" t="s">
        <v>2218</v>
      </c>
      <c r="Q93" s="5" t="s">
        <v>2219</v>
      </c>
      <c r="R93" s="7" t="s">
        <v>455</v>
      </c>
      <c r="S93" s="5" t="s">
        <v>2220</v>
      </c>
      <c r="T93" s="7" t="s">
        <v>455</v>
      </c>
      <c r="U93" s="5" t="s">
        <v>2221</v>
      </c>
      <c r="V93" s="7" t="s">
        <v>455</v>
      </c>
      <c r="W93" s="7" t="s">
        <v>455</v>
      </c>
      <c r="X93" s="7" t="s">
        <v>455</v>
      </c>
      <c r="Y93" s="7" t="s">
        <v>455</v>
      </c>
      <c r="Z93" s="5" t="s">
        <v>62</v>
      </c>
      <c r="AA93" s="5" t="s">
        <v>62</v>
      </c>
      <c r="AB93" s="5" t="s">
        <v>2222</v>
      </c>
      <c r="AC93" s="5" t="s">
        <v>2223</v>
      </c>
      <c r="AD93" s="5" t="s">
        <v>2224</v>
      </c>
      <c r="AE93" s="5" t="s">
        <v>2225</v>
      </c>
      <c r="AF93" s="5" t="s">
        <v>2226</v>
      </c>
      <c r="AG93" s="5" t="s">
        <v>2227</v>
      </c>
      <c r="AH93" s="7" t="s">
        <v>455</v>
      </c>
      <c r="AI93" s="5" t="s">
        <v>2228</v>
      </c>
      <c r="AJ93" s="5" t="s">
        <v>2229</v>
      </c>
      <c r="AK93" s="5" t="s">
        <v>2230</v>
      </c>
      <c r="AL93" s="5" t="s">
        <v>2231</v>
      </c>
      <c r="AM93" s="5" t="s">
        <v>2232</v>
      </c>
      <c r="AN93" s="5" t="s">
        <v>2233</v>
      </c>
      <c r="AO93" s="5" t="s">
        <v>2234</v>
      </c>
      <c r="AP93" s="5" t="s">
        <v>2235</v>
      </c>
      <c r="AQ93" s="7" t="s">
        <v>455</v>
      </c>
      <c r="AR93" s="5" t="s">
        <v>2236</v>
      </c>
      <c r="AS93" s="5" t="s">
        <v>128</v>
      </c>
      <c r="AT93" s="7"/>
    </row>
    <row r="94" spans="1:46" ht="14.25" customHeight="1" x14ac:dyDescent="0.3">
      <c r="A94" s="4">
        <v>19</v>
      </c>
      <c r="B94" s="4" t="s">
        <v>2183</v>
      </c>
      <c r="C94" s="4" t="s">
        <v>2184</v>
      </c>
      <c r="D94" s="4">
        <v>2022</v>
      </c>
      <c r="E94" s="4" t="s">
        <v>184</v>
      </c>
      <c r="F94" s="4" t="s">
        <v>48</v>
      </c>
      <c r="G94" s="5" t="s">
        <v>2237</v>
      </c>
      <c r="H94" s="5" t="s">
        <v>1748</v>
      </c>
      <c r="I94" s="5" t="s">
        <v>2238</v>
      </c>
      <c r="J94" s="5" t="s">
        <v>2239</v>
      </c>
      <c r="K94" s="5" t="s">
        <v>2187</v>
      </c>
      <c r="L94" s="5" t="s">
        <v>2240</v>
      </c>
      <c r="M94" s="5" t="s">
        <v>2241</v>
      </c>
      <c r="N94" s="5" t="s">
        <v>2242</v>
      </c>
      <c r="O94" s="5" t="s">
        <v>2243</v>
      </c>
      <c r="P94" s="5" t="s">
        <v>2244</v>
      </c>
      <c r="Q94" s="5" t="s">
        <v>2245</v>
      </c>
      <c r="R94" s="7" t="s">
        <v>455</v>
      </c>
      <c r="S94" s="5" t="s">
        <v>2246</v>
      </c>
      <c r="T94" s="5" t="s">
        <v>2247</v>
      </c>
      <c r="U94" s="7" t="s">
        <v>455</v>
      </c>
      <c r="V94" s="7" t="s">
        <v>455</v>
      </c>
      <c r="W94" s="5" t="s">
        <v>2248</v>
      </c>
      <c r="X94" s="5" t="s">
        <v>2249</v>
      </c>
      <c r="Y94" s="7" t="s">
        <v>455</v>
      </c>
      <c r="Z94" s="5" t="s">
        <v>62</v>
      </c>
      <c r="AA94" s="5" t="s">
        <v>62</v>
      </c>
      <c r="AB94" s="5" t="s">
        <v>2250</v>
      </c>
      <c r="AC94" s="5" t="s">
        <v>2251</v>
      </c>
      <c r="AD94" s="5" t="s">
        <v>2252</v>
      </c>
      <c r="AE94" s="5" t="s">
        <v>2253</v>
      </c>
      <c r="AF94" s="5" t="s">
        <v>2254</v>
      </c>
      <c r="AG94" s="5" t="s">
        <v>2255</v>
      </c>
      <c r="AH94" s="7" t="s">
        <v>455</v>
      </c>
      <c r="AI94" s="5" t="s">
        <v>2256</v>
      </c>
      <c r="AJ94" s="5" t="s">
        <v>2257</v>
      </c>
      <c r="AK94" s="5" t="s">
        <v>2258</v>
      </c>
      <c r="AL94" s="5" t="s">
        <v>2259</v>
      </c>
      <c r="AM94" s="5" t="s">
        <v>2260</v>
      </c>
      <c r="AN94" s="5" t="s">
        <v>2261</v>
      </c>
      <c r="AO94" s="5" t="s">
        <v>2262</v>
      </c>
      <c r="AP94" s="5" t="s">
        <v>2263</v>
      </c>
      <c r="AQ94" s="7" t="s">
        <v>455</v>
      </c>
      <c r="AR94" s="5" t="s">
        <v>2264</v>
      </c>
      <c r="AS94" s="5" t="s">
        <v>153</v>
      </c>
      <c r="AT94" s="7"/>
    </row>
    <row r="95" spans="1:46" ht="14.25" customHeight="1" x14ac:dyDescent="0.3">
      <c r="A95" s="4">
        <v>19</v>
      </c>
      <c r="B95" s="4" t="s">
        <v>2183</v>
      </c>
      <c r="C95" s="4" t="s">
        <v>2184</v>
      </c>
      <c r="D95" s="4">
        <v>2023</v>
      </c>
      <c r="E95" s="4" t="s">
        <v>184</v>
      </c>
      <c r="F95" s="4" t="s">
        <v>48</v>
      </c>
      <c r="G95" s="5" t="s">
        <v>2237</v>
      </c>
      <c r="H95" s="5" t="s">
        <v>1748</v>
      </c>
      <c r="I95" s="5" t="s">
        <v>2265</v>
      </c>
      <c r="J95" s="5" t="s">
        <v>2266</v>
      </c>
      <c r="K95" s="5" t="s">
        <v>2187</v>
      </c>
      <c r="L95" s="5" t="s">
        <v>2267</v>
      </c>
      <c r="M95" s="5" t="s">
        <v>2268</v>
      </c>
      <c r="N95" s="5" t="s">
        <v>2269</v>
      </c>
      <c r="O95" s="5" t="s">
        <v>2270</v>
      </c>
      <c r="P95" s="5" t="s">
        <v>2271</v>
      </c>
      <c r="Q95" s="5" t="s">
        <v>2272</v>
      </c>
      <c r="R95" s="5" t="s">
        <v>2273</v>
      </c>
      <c r="S95" s="5" t="s">
        <v>2274</v>
      </c>
      <c r="T95" s="5" t="s">
        <v>2275</v>
      </c>
      <c r="U95" s="7" t="s">
        <v>455</v>
      </c>
      <c r="V95" s="7" t="s">
        <v>455</v>
      </c>
      <c r="W95" s="5" t="s">
        <v>2276</v>
      </c>
      <c r="X95" s="5" t="s">
        <v>2277</v>
      </c>
      <c r="Y95" s="7" t="s">
        <v>455</v>
      </c>
      <c r="Z95" s="5" t="s">
        <v>62</v>
      </c>
      <c r="AA95" s="5" t="s">
        <v>62</v>
      </c>
      <c r="AB95" s="5" t="s">
        <v>2278</v>
      </c>
      <c r="AC95" s="5" t="s">
        <v>2279</v>
      </c>
      <c r="AD95" s="5" t="s">
        <v>2280</v>
      </c>
      <c r="AE95" s="5" t="s">
        <v>2281</v>
      </c>
      <c r="AF95" s="5" t="s">
        <v>2282</v>
      </c>
      <c r="AG95" s="5" t="s">
        <v>2283</v>
      </c>
      <c r="AH95" s="5" t="s">
        <v>2284</v>
      </c>
      <c r="AI95" s="5" t="s">
        <v>2285</v>
      </c>
      <c r="AJ95" s="7" t="s">
        <v>455</v>
      </c>
      <c r="AK95" s="5" t="s">
        <v>2286</v>
      </c>
      <c r="AL95" s="7" t="s">
        <v>455</v>
      </c>
      <c r="AM95" s="5" t="s">
        <v>2287</v>
      </c>
      <c r="AN95" s="5" t="s">
        <v>2288</v>
      </c>
      <c r="AO95" s="5" t="s">
        <v>2289</v>
      </c>
      <c r="AP95" s="5" t="s">
        <v>2290</v>
      </c>
      <c r="AQ95" s="5" t="s">
        <v>2291</v>
      </c>
      <c r="AR95" s="7" t="s">
        <v>455</v>
      </c>
      <c r="AS95" s="5" t="s">
        <v>178</v>
      </c>
      <c r="AT95" s="7"/>
    </row>
    <row r="96" spans="1:46" ht="14.25" customHeight="1" x14ac:dyDescent="0.3">
      <c r="A96" s="4">
        <v>19</v>
      </c>
      <c r="B96" s="4" t="s">
        <v>2183</v>
      </c>
      <c r="C96" s="4" t="s">
        <v>2184</v>
      </c>
      <c r="D96" s="4">
        <v>2024</v>
      </c>
      <c r="E96" s="4" t="s">
        <v>184</v>
      </c>
      <c r="F96" s="4" t="s">
        <v>48</v>
      </c>
      <c r="G96" s="5" t="s">
        <v>2292</v>
      </c>
      <c r="H96" s="5" t="s">
        <v>1748</v>
      </c>
      <c r="I96" s="5" t="s">
        <v>2293</v>
      </c>
      <c r="J96" s="5" t="s">
        <v>2294</v>
      </c>
      <c r="K96" s="5" t="s">
        <v>2187</v>
      </c>
      <c r="L96" s="5" t="s">
        <v>2295</v>
      </c>
      <c r="M96" s="5" t="s">
        <v>2296</v>
      </c>
      <c r="N96" s="5" t="s">
        <v>2297</v>
      </c>
      <c r="O96" s="7" t="s">
        <v>455</v>
      </c>
      <c r="P96" s="7" t="s">
        <v>455</v>
      </c>
      <c r="Q96" s="7" t="s">
        <v>455</v>
      </c>
      <c r="R96" s="7" t="s">
        <v>455</v>
      </c>
      <c r="S96" s="7" t="s">
        <v>455</v>
      </c>
      <c r="T96" s="7" t="s">
        <v>455</v>
      </c>
      <c r="U96" s="7" t="s">
        <v>455</v>
      </c>
      <c r="V96" s="7" t="s">
        <v>455</v>
      </c>
      <c r="W96" s="7" t="s">
        <v>455</v>
      </c>
      <c r="X96" s="7" t="s">
        <v>455</v>
      </c>
      <c r="Y96" s="7" t="s">
        <v>455</v>
      </c>
      <c r="Z96" s="5" t="s">
        <v>62</v>
      </c>
      <c r="AA96" s="5" t="s">
        <v>62</v>
      </c>
      <c r="AB96" s="5" t="s">
        <v>2298</v>
      </c>
      <c r="AC96" s="7" t="s">
        <v>455</v>
      </c>
      <c r="AD96" s="5" t="s">
        <v>2299</v>
      </c>
      <c r="AE96" s="7" t="s">
        <v>455</v>
      </c>
      <c r="AF96" s="5" t="s">
        <v>2300</v>
      </c>
      <c r="AG96" s="5" t="s">
        <v>2301</v>
      </c>
      <c r="AH96" s="5" t="s">
        <v>2302</v>
      </c>
      <c r="AI96" s="5" t="s">
        <v>2303</v>
      </c>
      <c r="AJ96" s="7" t="s">
        <v>455</v>
      </c>
      <c r="AK96" s="7" t="s">
        <v>455</v>
      </c>
      <c r="AL96" s="7" t="s">
        <v>455</v>
      </c>
      <c r="AM96" s="5" t="s">
        <v>2304</v>
      </c>
      <c r="AN96" s="7" t="s">
        <v>455</v>
      </c>
      <c r="AO96" s="7" t="s">
        <v>455</v>
      </c>
      <c r="AP96" s="7" t="s">
        <v>455</v>
      </c>
      <c r="AQ96" s="5" t="s">
        <v>2305</v>
      </c>
      <c r="AR96" s="7" t="s">
        <v>455</v>
      </c>
      <c r="AS96" s="5" t="s">
        <v>1042</v>
      </c>
      <c r="AT96" s="7"/>
    </row>
    <row r="97" spans="1:46" ht="14.25" customHeight="1" x14ac:dyDescent="0.3">
      <c r="A97" s="10">
        <v>20</v>
      </c>
      <c r="B97" s="10" t="s">
        <v>2306</v>
      </c>
      <c r="C97" s="10" t="s">
        <v>2307</v>
      </c>
      <c r="D97" s="10">
        <v>2020</v>
      </c>
      <c r="E97" s="10" t="s">
        <v>445</v>
      </c>
      <c r="F97" s="10" t="s">
        <v>48</v>
      </c>
      <c r="G97" s="32" t="s">
        <v>1043</v>
      </c>
      <c r="H97" s="32" t="s">
        <v>2308</v>
      </c>
      <c r="I97" s="32" t="s">
        <v>2309</v>
      </c>
      <c r="J97" s="32" t="s">
        <v>2310</v>
      </c>
      <c r="K97" s="32" t="s">
        <v>2311</v>
      </c>
      <c r="L97" s="32" t="s">
        <v>2312</v>
      </c>
      <c r="M97" s="32" t="s">
        <v>2312</v>
      </c>
      <c r="N97" s="32" t="s">
        <v>2313</v>
      </c>
      <c r="O97" s="32" t="s">
        <v>2314</v>
      </c>
      <c r="P97" s="32" t="s">
        <v>2315</v>
      </c>
      <c r="Q97" s="32" t="s">
        <v>2316</v>
      </c>
      <c r="R97" s="32" t="s">
        <v>2317</v>
      </c>
      <c r="S97" s="32" t="s">
        <v>2318</v>
      </c>
      <c r="T97" s="32" t="s">
        <v>2319</v>
      </c>
      <c r="U97" s="32" t="s">
        <v>2320</v>
      </c>
      <c r="V97" s="32" t="s">
        <v>446</v>
      </c>
      <c r="W97" s="32" t="s">
        <v>2321</v>
      </c>
      <c r="X97" s="32" t="s">
        <v>2322</v>
      </c>
      <c r="Y97" s="17" t="s">
        <v>455</v>
      </c>
      <c r="Z97" s="32" t="s">
        <v>62</v>
      </c>
      <c r="AA97" s="32" t="s">
        <v>62</v>
      </c>
      <c r="AB97" s="32" t="s">
        <v>2323</v>
      </c>
      <c r="AC97" s="32" t="s">
        <v>2324</v>
      </c>
      <c r="AD97" s="17" t="s">
        <v>2325</v>
      </c>
      <c r="AE97" s="32" t="s">
        <v>2326</v>
      </c>
      <c r="AF97" s="32" t="s">
        <v>2327</v>
      </c>
      <c r="AG97" s="32" t="s">
        <v>2328</v>
      </c>
      <c r="AH97" s="32" t="s">
        <v>2329</v>
      </c>
      <c r="AI97" s="32" t="s">
        <v>2330</v>
      </c>
      <c r="AJ97" s="32" t="s">
        <v>2331</v>
      </c>
      <c r="AK97" s="32" t="s">
        <v>2332</v>
      </c>
      <c r="AL97" s="32" t="s">
        <v>2333</v>
      </c>
      <c r="AM97" s="32" t="s">
        <v>2334</v>
      </c>
      <c r="AN97" s="32" t="s">
        <v>2335</v>
      </c>
      <c r="AO97" s="32" t="s">
        <v>2336</v>
      </c>
      <c r="AP97" s="32" t="s">
        <v>2337</v>
      </c>
      <c r="AQ97" s="32" t="s">
        <v>2338</v>
      </c>
      <c r="AR97" s="32" t="s">
        <v>2339</v>
      </c>
      <c r="AS97" s="32" t="s">
        <v>352</v>
      </c>
      <c r="AT97" s="17"/>
    </row>
    <row r="98" spans="1:46" ht="14.25" customHeight="1" x14ac:dyDescent="0.3">
      <c r="A98" s="10">
        <v>20</v>
      </c>
      <c r="B98" s="10" t="s">
        <v>2306</v>
      </c>
      <c r="C98" s="10" t="s">
        <v>2307</v>
      </c>
      <c r="D98" s="10">
        <v>2021</v>
      </c>
      <c r="E98" s="10" t="s">
        <v>445</v>
      </c>
      <c r="F98" s="10" t="s">
        <v>48</v>
      </c>
      <c r="G98" s="32" t="s">
        <v>2340</v>
      </c>
      <c r="H98" s="32" t="s">
        <v>2341</v>
      </c>
      <c r="I98" s="32" t="s">
        <v>2342</v>
      </c>
      <c r="J98" s="32" t="s">
        <v>2343</v>
      </c>
      <c r="K98" s="32" t="s">
        <v>2344</v>
      </c>
      <c r="L98" s="32" t="s">
        <v>2345</v>
      </c>
      <c r="M98" s="32" t="s">
        <v>2345</v>
      </c>
      <c r="N98" s="32" t="s">
        <v>2346</v>
      </c>
      <c r="O98" s="32" t="s">
        <v>2347</v>
      </c>
      <c r="P98" s="32" t="s">
        <v>2348</v>
      </c>
      <c r="Q98" s="32" t="s">
        <v>2349</v>
      </c>
      <c r="R98" s="32" t="s">
        <v>2350</v>
      </c>
      <c r="S98" s="32" t="s">
        <v>2351</v>
      </c>
      <c r="T98" s="32" t="s">
        <v>2352</v>
      </c>
      <c r="U98" s="32" t="s">
        <v>2353</v>
      </c>
      <c r="V98" s="32" t="s">
        <v>446</v>
      </c>
      <c r="W98" s="32" t="s">
        <v>2354</v>
      </c>
      <c r="X98" s="32" t="s">
        <v>2355</v>
      </c>
      <c r="Y98" s="17" t="s">
        <v>455</v>
      </c>
      <c r="Z98" s="32" t="s">
        <v>62</v>
      </c>
      <c r="AA98" s="32" t="s">
        <v>62</v>
      </c>
      <c r="AB98" s="32" t="s">
        <v>2356</v>
      </c>
      <c r="AC98" s="32" t="s">
        <v>2357</v>
      </c>
      <c r="AD98" s="17" t="s">
        <v>2325</v>
      </c>
      <c r="AE98" s="32" t="s">
        <v>2358</v>
      </c>
      <c r="AF98" s="32" t="s">
        <v>2359</v>
      </c>
      <c r="AG98" s="32" t="s">
        <v>2360</v>
      </c>
      <c r="AH98" s="32" t="s">
        <v>2361</v>
      </c>
      <c r="AI98" s="32" t="s">
        <v>2362</v>
      </c>
      <c r="AJ98" s="32" t="s">
        <v>446</v>
      </c>
      <c r="AK98" s="32" t="s">
        <v>2363</v>
      </c>
      <c r="AL98" s="32" t="s">
        <v>2364</v>
      </c>
      <c r="AM98" s="32" t="s">
        <v>188</v>
      </c>
      <c r="AN98" s="32" t="s">
        <v>2365</v>
      </c>
      <c r="AO98" s="32" t="s">
        <v>2366</v>
      </c>
      <c r="AP98" s="32" t="s">
        <v>2367</v>
      </c>
      <c r="AQ98" s="32" t="s">
        <v>2368</v>
      </c>
      <c r="AR98" s="32" t="s">
        <v>2369</v>
      </c>
      <c r="AS98" s="32" t="s">
        <v>374</v>
      </c>
      <c r="AT98" s="17"/>
    </row>
    <row r="99" spans="1:46" ht="14.25" customHeight="1" x14ac:dyDescent="0.3">
      <c r="A99" s="10">
        <v>20</v>
      </c>
      <c r="B99" s="10" t="s">
        <v>2306</v>
      </c>
      <c r="C99" s="10" t="s">
        <v>2307</v>
      </c>
      <c r="D99" s="10">
        <v>2022</v>
      </c>
      <c r="E99" s="10" t="s">
        <v>445</v>
      </c>
      <c r="F99" s="10" t="s">
        <v>48</v>
      </c>
      <c r="G99" s="32" t="s">
        <v>2370</v>
      </c>
      <c r="H99" s="32" t="s">
        <v>2371</v>
      </c>
      <c r="I99" s="32" t="s">
        <v>2372</v>
      </c>
      <c r="J99" s="32" t="s">
        <v>2373</v>
      </c>
      <c r="K99" s="32" t="s">
        <v>2374</v>
      </c>
      <c r="L99" s="32" t="s">
        <v>2375</v>
      </c>
      <c r="M99" s="32" t="s">
        <v>2375</v>
      </c>
      <c r="N99" s="32" t="s">
        <v>2376</v>
      </c>
      <c r="O99" s="32" t="s">
        <v>2377</v>
      </c>
      <c r="P99" s="32" t="s">
        <v>2378</v>
      </c>
      <c r="Q99" s="32" t="s">
        <v>2379</v>
      </c>
      <c r="R99" s="32" t="s">
        <v>2380</v>
      </c>
      <c r="S99" s="32" t="s">
        <v>2381</v>
      </c>
      <c r="T99" s="32" t="s">
        <v>2382</v>
      </c>
      <c r="U99" s="32" t="s">
        <v>2383</v>
      </c>
      <c r="V99" s="32" t="s">
        <v>446</v>
      </c>
      <c r="W99" s="32" t="s">
        <v>2384</v>
      </c>
      <c r="X99" s="32" t="s">
        <v>2385</v>
      </c>
      <c r="Y99" s="17" t="s">
        <v>455</v>
      </c>
      <c r="Z99" s="32" t="s">
        <v>62</v>
      </c>
      <c r="AA99" s="32" t="s">
        <v>62</v>
      </c>
      <c r="AB99" s="32" t="s">
        <v>2386</v>
      </c>
      <c r="AC99" s="32" t="s">
        <v>2387</v>
      </c>
      <c r="AD99" s="17" t="s">
        <v>2325</v>
      </c>
      <c r="AE99" s="32" t="s">
        <v>2388</v>
      </c>
      <c r="AF99" s="32" t="s">
        <v>2389</v>
      </c>
      <c r="AG99" s="32" t="s">
        <v>2390</v>
      </c>
      <c r="AH99" s="32" t="s">
        <v>2391</v>
      </c>
      <c r="AI99" s="32" t="s">
        <v>2392</v>
      </c>
      <c r="AJ99" s="32" t="s">
        <v>446</v>
      </c>
      <c r="AK99" s="32" t="s">
        <v>2393</v>
      </c>
      <c r="AL99" s="32" t="s">
        <v>2394</v>
      </c>
      <c r="AM99" s="32" t="s">
        <v>1681</v>
      </c>
      <c r="AN99" s="32" t="s">
        <v>2395</v>
      </c>
      <c r="AO99" s="32" t="s">
        <v>2396</v>
      </c>
      <c r="AP99" s="32" t="s">
        <v>2397</v>
      </c>
      <c r="AQ99" s="32" t="s">
        <v>2398</v>
      </c>
      <c r="AR99" s="32" t="s">
        <v>2399</v>
      </c>
      <c r="AS99" s="32" t="s">
        <v>396</v>
      </c>
      <c r="AT99" s="17"/>
    </row>
    <row r="100" spans="1:46" ht="14.25" customHeight="1" x14ac:dyDescent="0.3">
      <c r="A100" s="10">
        <v>20</v>
      </c>
      <c r="B100" s="10" t="s">
        <v>2306</v>
      </c>
      <c r="C100" s="10" t="s">
        <v>2307</v>
      </c>
      <c r="D100" s="10">
        <v>2023</v>
      </c>
      <c r="E100" s="10" t="s">
        <v>445</v>
      </c>
      <c r="F100" s="10" t="s">
        <v>48</v>
      </c>
      <c r="G100" s="32" t="s">
        <v>2400</v>
      </c>
      <c r="H100" s="32" t="s">
        <v>2401</v>
      </c>
      <c r="I100" s="32" t="s">
        <v>2402</v>
      </c>
      <c r="J100" s="32" t="s">
        <v>2403</v>
      </c>
      <c r="K100" s="32" t="s">
        <v>2404</v>
      </c>
      <c r="L100" s="32" t="s">
        <v>2405</v>
      </c>
      <c r="M100" s="32" t="s">
        <v>2405</v>
      </c>
      <c r="N100" s="32" t="s">
        <v>2406</v>
      </c>
      <c r="O100" s="32" t="s">
        <v>2407</v>
      </c>
      <c r="P100" s="32" t="s">
        <v>2408</v>
      </c>
      <c r="Q100" s="32" t="s">
        <v>2409</v>
      </c>
      <c r="R100" s="32" t="s">
        <v>2410</v>
      </c>
      <c r="S100" s="32" t="s">
        <v>2411</v>
      </c>
      <c r="T100" s="32" t="s">
        <v>2412</v>
      </c>
      <c r="U100" s="32" t="s">
        <v>2413</v>
      </c>
      <c r="V100" s="32" t="s">
        <v>446</v>
      </c>
      <c r="W100" s="32" t="s">
        <v>2414</v>
      </c>
      <c r="X100" s="32" t="s">
        <v>2415</v>
      </c>
      <c r="Y100" s="17" t="s">
        <v>455</v>
      </c>
      <c r="Z100" s="32" t="s">
        <v>62</v>
      </c>
      <c r="AA100" s="32" t="s">
        <v>62</v>
      </c>
      <c r="AB100" s="32" t="s">
        <v>2416</v>
      </c>
      <c r="AC100" s="32" t="s">
        <v>2417</v>
      </c>
      <c r="AD100" s="17" t="s">
        <v>2325</v>
      </c>
      <c r="AE100" s="32" t="s">
        <v>2418</v>
      </c>
      <c r="AF100" s="32" t="s">
        <v>2419</v>
      </c>
      <c r="AG100" s="32" t="s">
        <v>2420</v>
      </c>
      <c r="AH100" s="32" t="s">
        <v>2421</v>
      </c>
      <c r="AI100" s="32" t="s">
        <v>2422</v>
      </c>
      <c r="AJ100" s="32" t="s">
        <v>2423</v>
      </c>
      <c r="AK100" s="32" t="s">
        <v>2424</v>
      </c>
      <c r="AL100" s="32" t="s">
        <v>2425</v>
      </c>
      <c r="AM100" s="32" t="s">
        <v>2426</v>
      </c>
      <c r="AN100" s="32" t="s">
        <v>2427</v>
      </c>
      <c r="AO100" s="32" t="s">
        <v>2428</v>
      </c>
      <c r="AP100" s="32" t="s">
        <v>2429</v>
      </c>
      <c r="AQ100" s="32" t="s">
        <v>2430</v>
      </c>
      <c r="AR100" s="32" t="s">
        <v>2431</v>
      </c>
      <c r="AS100" s="32" t="s">
        <v>418</v>
      </c>
      <c r="AT100" s="17"/>
    </row>
    <row r="101" spans="1:46" ht="14.25" customHeight="1" x14ac:dyDescent="0.3">
      <c r="A101" s="10">
        <v>20</v>
      </c>
      <c r="B101" s="10" t="s">
        <v>2306</v>
      </c>
      <c r="C101" s="10" t="s">
        <v>2307</v>
      </c>
      <c r="D101" s="10">
        <v>2024</v>
      </c>
      <c r="E101" s="10" t="s">
        <v>445</v>
      </c>
      <c r="F101" s="10" t="s">
        <v>48</v>
      </c>
      <c r="G101" s="32" t="s">
        <v>2237</v>
      </c>
      <c r="H101" s="32" t="s">
        <v>2401</v>
      </c>
      <c r="I101" s="32" t="s">
        <v>2402</v>
      </c>
      <c r="J101" s="32" t="s">
        <v>2403</v>
      </c>
      <c r="K101" s="32" t="s">
        <v>2404</v>
      </c>
      <c r="L101" s="32" t="s">
        <v>2432</v>
      </c>
      <c r="M101" s="32" t="s">
        <v>2432</v>
      </c>
      <c r="N101" s="32" t="s">
        <v>2433</v>
      </c>
      <c r="O101" s="32" t="s">
        <v>2434</v>
      </c>
      <c r="P101" s="32" t="s">
        <v>2435</v>
      </c>
      <c r="Q101" s="32" t="s">
        <v>2436</v>
      </c>
      <c r="R101" s="32" t="s">
        <v>2437</v>
      </c>
      <c r="S101" s="32" t="s">
        <v>2438</v>
      </c>
      <c r="T101" s="32" t="s">
        <v>2439</v>
      </c>
      <c r="U101" s="32" t="s">
        <v>2440</v>
      </c>
      <c r="V101" s="32" t="s">
        <v>446</v>
      </c>
      <c r="W101" s="32" t="s">
        <v>2441</v>
      </c>
      <c r="X101" s="32" t="s">
        <v>2442</v>
      </c>
      <c r="Y101" s="17" t="s">
        <v>455</v>
      </c>
      <c r="Z101" s="32" t="s">
        <v>62</v>
      </c>
      <c r="AA101" s="32" t="s">
        <v>62</v>
      </c>
      <c r="AB101" s="32" t="s">
        <v>2443</v>
      </c>
      <c r="AC101" s="32" t="s">
        <v>2444</v>
      </c>
      <c r="AD101" s="17" t="s">
        <v>2325</v>
      </c>
      <c r="AE101" s="32" t="s">
        <v>2445</v>
      </c>
      <c r="AF101" s="32" t="s">
        <v>2446</v>
      </c>
      <c r="AG101" s="32" t="s">
        <v>2447</v>
      </c>
      <c r="AH101" s="32" t="s">
        <v>2448</v>
      </c>
      <c r="AI101" s="32" t="s">
        <v>2449</v>
      </c>
      <c r="AJ101" s="32" t="s">
        <v>2450</v>
      </c>
      <c r="AK101" s="32" t="s">
        <v>2451</v>
      </c>
      <c r="AL101" s="32" t="s">
        <v>2452</v>
      </c>
      <c r="AM101" s="32" t="s">
        <v>2453</v>
      </c>
      <c r="AN101" s="32" t="s">
        <v>2454</v>
      </c>
      <c r="AO101" s="32" t="s">
        <v>2455</v>
      </c>
      <c r="AP101" s="32" t="s">
        <v>2456</v>
      </c>
      <c r="AQ101" s="32" t="s">
        <v>2457</v>
      </c>
      <c r="AR101" s="32" t="s">
        <v>2458</v>
      </c>
      <c r="AS101" s="32" t="s">
        <v>442</v>
      </c>
      <c r="AT101" s="17"/>
    </row>
    <row r="102" spans="1:46" ht="14.25" customHeight="1" x14ac:dyDescent="0.3"/>
    <row r="103" spans="1:46" ht="14.25" customHeight="1" x14ac:dyDescent="0.3"/>
    <row r="104" spans="1:46" ht="14.25" customHeight="1" x14ac:dyDescent="0.3"/>
    <row r="105" spans="1:46" ht="14.25" customHeight="1" x14ac:dyDescent="0.3"/>
    <row r="106" spans="1:46" ht="14.25" customHeight="1" x14ac:dyDescent="0.3"/>
    <row r="107" spans="1:46" ht="14.25" customHeight="1" x14ac:dyDescent="0.3"/>
    <row r="108" spans="1:46" ht="14.25" customHeight="1" x14ac:dyDescent="0.3"/>
    <row r="109" spans="1:46" ht="14.25" customHeight="1" x14ac:dyDescent="0.3"/>
    <row r="110" spans="1:46" ht="14.25" customHeight="1" x14ac:dyDescent="0.3"/>
    <row r="111" spans="1:46" ht="14.25" customHeight="1" x14ac:dyDescent="0.3"/>
    <row r="112" spans="1:46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B2:D71 A2:A101 E2:AR101 AS33:AT36 AS57:AT76 B77:D101 AS82:AT91">
    <cfRule type="expression" dxfId="1" priority="1">
      <formula>"$$=ISODD($A2)$$"</formula>
    </cfRule>
  </conditionalFormatting>
  <conditionalFormatting sqref="D72:D76">
    <cfRule type="expression" dxfId="0" priority="2">
      <formula>"$$=ISODD($A2)$$"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Hoang</dc:creator>
  <cp:lastModifiedBy>Hoang Linh Phuong</cp:lastModifiedBy>
  <dcterms:created xsi:type="dcterms:W3CDTF">2015-06-05T18:17:20Z</dcterms:created>
  <dcterms:modified xsi:type="dcterms:W3CDTF">2026-02-22T15:38:50Z</dcterms:modified>
</cp:coreProperties>
</file>